
<file path=[Content_Types].xml><?xml version="1.0" encoding="utf-8"?>
<Types xmlns="http://schemas.openxmlformats.org/package/2006/content-types">
  <Default Extension="data" ContentType="application/vnd.openxmlformats-officedocument.model+data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pivotCache/pivotCacheDefinition6.xml" ContentType="application/vnd.openxmlformats-officedocument.spreadsheetml.pivotCacheDefinition+xml"/>
  <Override PartName="/xl/pivotCache/pivotCacheDefinition7.xml" ContentType="application/vnd.openxmlformats-officedocument.spreadsheetml.pivotCacheDefinition+xml"/>
  <Override PartName="/xl/pivotCache/pivotCacheDefinition8.xml" ContentType="application/vnd.openxmlformats-officedocument.spreadsheetml.pivotCacheDefinition+xml"/>
  <Override PartName="/xl/pivotCache/pivotCacheDefinition9.xml" ContentType="application/vnd.openxmlformats-officedocument.spreadsheetml.pivotCacheDefinition+xml"/>
  <Override PartName="/xl/pivotCache/pivotCacheDefinition10.xml" ContentType="application/vnd.openxmlformats-officedocument.spreadsheetml.pivotCacheDefinition+xml"/>
  <Override PartName="/xl/pivotCache/pivotCacheDefinition11.xml" ContentType="application/vnd.openxmlformats-officedocument.spreadsheetml.pivotCacheDefinition+xml"/>
  <Override PartName="/xl/pivotCache/pivotCacheDefinition12.xml" ContentType="application/vnd.openxmlformats-officedocument.spreadsheetml.pivotCacheDefinition+xml"/>
  <Override PartName="/xl/pivotCache/pivotCacheDefinition13.xml" ContentType="application/vnd.openxmlformats-officedocument.spreadsheetml.pivotCacheDefinition+xml"/>
  <Override PartName="/xl/pivotCache/pivotCacheDefinition14.xml" ContentType="application/vnd.openxmlformats-officedocument.spreadsheetml.pivotCacheDefinition+xml"/>
  <Override PartName="/xl/pivotCache/pivotCacheDefinition15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harts/chart1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Ex2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Ex3.xml" ContentType="application/vnd.ms-office.chartex+xml"/>
  <Override PartName="/xl/charts/style4.xml" ContentType="application/vnd.ms-office.chartstyle+xml"/>
  <Override PartName="/xl/charts/colors4.xml" ContentType="application/vnd.ms-office.chartcolorstyle+xml"/>
  <Override PartName="/xl/drawings/drawing4.xml" ContentType="application/vnd.openxmlformats-officedocument.drawing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pivotTables/pivotTable15.xml" ContentType="application/vnd.openxmlformats-officedocument.spreadsheetml.pivotTable+xml"/>
  <Override PartName="/xl/pivotTables/pivotTable16.xml" ContentType="application/vnd.openxmlformats-officedocument.spreadsheetml.pivotTable+xml"/>
  <Override PartName="/xl/pivotTables/pivotTable17.xml" ContentType="application/vnd.openxmlformats-officedocument.spreadsheetml.pivotTable+xml"/>
  <Override PartName="/xl/drawings/drawing5.xml" ContentType="application/vnd.openxmlformats-officedocument.drawing+xml"/>
  <Override PartName="/xl/charts/chart10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11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12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13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pivotTables/pivotTable18.xml" ContentType="application/vnd.openxmlformats-officedocument.spreadsheetml.pivotTable+xml"/>
  <Override PartName="/xl/pivotTables/pivotTable19.xml" ContentType="application/vnd.openxmlformats-officedocument.spreadsheetml.pivotTable+xml"/>
  <Override PartName="/xl/pivotTables/pivotTable20.xml" ContentType="application/vnd.openxmlformats-officedocument.spreadsheetml.pivotTable+xml"/>
  <Override PartName="/xl/pivotTables/pivotTable21.xml" ContentType="application/vnd.openxmlformats-officedocument.spreadsheetml.pivotTable+xml"/>
  <Override PartName="/xl/pivotTables/pivotTable22.xml" ContentType="application/vnd.openxmlformats-officedocument.spreadsheetml.pivotTable+xml"/>
  <Override PartName="/xl/pivotTables/pivotTable23.xml" ContentType="application/vnd.openxmlformats-officedocument.spreadsheetml.pivotTable+xml"/>
  <Override PartName="/xl/pivotTables/pivotTable24.xml" ContentType="application/vnd.openxmlformats-officedocument.spreadsheetml.pivotTable+xml"/>
  <Override PartName="/xl/pivotTables/pivotTable25.xml" ContentType="application/vnd.openxmlformats-officedocument.spreadsheetml.pivotTable+xml"/>
  <Override PartName="/xl/pivotTables/pivotTable26.xml" ContentType="application/vnd.openxmlformats-officedocument.spreadsheetml.pivotTable+xml"/>
  <Override PartName="/xl/pivotTables/pivotTable27.xml" ContentType="application/vnd.openxmlformats-officedocument.spreadsheetml.pivotTable+xml"/>
  <Override PartName="/xl/drawings/drawing6.xml" ContentType="application/vnd.openxmlformats-officedocument.drawing+xml"/>
  <Override PartName="/xl/charts/chart14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5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6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7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8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pivotTables/pivotTable28.xml" ContentType="application/vnd.openxmlformats-officedocument.spreadsheetml.pivotTable+xml"/>
  <Override PartName="/xl/pivotTables/pivotTable29.xml" ContentType="application/vnd.openxmlformats-officedocument.spreadsheetml.pivotTable+xml"/>
  <Override PartName="/xl/pivotTables/pivotTable30.xml" ContentType="application/vnd.openxmlformats-officedocument.spreadsheetml.pivotTable+xml"/>
  <Override PartName="/xl/pivotTables/pivotTable31.xml" ContentType="application/vnd.openxmlformats-officedocument.spreadsheetml.pivotTable+xml"/>
  <Override PartName="/xl/pivotTables/pivotTable32.xml" ContentType="application/vnd.openxmlformats-officedocument.spreadsheetml.pivotTable+xml"/>
  <Override PartName="/xl/pivotTables/pivotTable33.xml" ContentType="application/vnd.openxmlformats-officedocument.spreadsheetml.pivotTable+xml"/>
  <Override PartName="/xl/pivotTables/pivotTable34.xml" ContentType="application/vnd.openxmlformats-officedocument.spreadsheetml.pivotTable+xml"/>
  <Override PartName="/xl/drawings/drawing7.xml" ContentType="application/vnd.openxmlformats-officedocument.drawing+xml"/>
  <Override PartName="/xl/charts/chart19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20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21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22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hidePivotFieldList="1"/>
  <mc:AlternateContent xmlns:mc="http://schemas.openxmlformats.org/markup-compatibility/2006">
    <mc:Choice Requires="x15">
      <x15ac:absPath xmlns:x15ac="http://schemas.microsoft.com/office/spreadsheetml/2010/11/ac" url="E:\nikhil assignment\LinkedIN Project\"/>
    </mc:Choice>
  </mc:AlternateContent>
  <xr:revisionPtr revIDLastSave="0" documentId="13_ncr:1_{E7C02A0F-4B34-4E72-807C-E3821066CAC5}" xr6:coauthVersionLast="47" xr6:coauthVersionMax="47" xr10:uidLastSave="{00000000-0000-0000-0000-000000000000}"/>
  <bookViews>
    <workbookView xWindow="-108" yWindow="-108" windowWidth="23256" windowHeight="12456" tabRatio="900" firstSheet="12" activeTab="20" xr2:uid="{E39F1B53-3127-4D6C-88BD-079CCE5E8692}"/>
  </bookViews>
  <sheets>
    <sheet name="tips dataset" sheetId="1" r:id="rId1"/>
    <sheet name="Data " sheetId="6" r:id="rId2"/>
    <sheet name="Residual and RMSE" sheetId="17" r:id="rId3"/>
    <sheet name="Data on tip by Sex " sheetId="8" r:id="rId4"/>
    <sheet name="Data ontip by time" sheetId="9" r:id="rId5"/>
    <sheet name="Data Understanding" sheetId="2" r:id="rId6"/>
    <sheet name="Working sheet Stat anal" sheetId="7" r:id="rId7"/>
    <sheet name="Basic EDA" sheetId="3" r:id="rId8"/>
    <sheet name="SA on tip by smoker vs nonsmoke" sheetId="5" r:id="rId9"/>
    <sheet name="SA on tips by gender" sheetId="10" r:id="rId10"/>
    <sheet name="Time Hypo testing" sheetId="11" r:id="rId11"/>
    <sheet name="Correlation Analysis" sheetId="12" r:id="rId12"/>
    <sheet name="ph-6 Regression " sheetId="13" r:id="rId13"/>
    <sheet name="Model 1" sheetId="14" r:id="rId14"/>
    <sheet name="Model 2" sheetId="16" r:id="rId15"/>
    <sheet name="Model 3" sheetId="18" r:id="rId16"/>
    <sheet name="Model comparison" sheetId="21" r:id="rId17"/>
    <sheet name="Regression explain" sheetId="15" r:id="rId18"/>
    <sheet name="Working Sheet" sheetId="20" r:id="rId19"/>
    <sheet name="DashBoard" sheetId="19" r:id="rId20"/>
    <sheet name="Executive Summary" sheetId="22" r:id="rId21"/>
  </sheets>
  <definedNames>
    <definedName name="_xlnm._FilterDatabase" localSheetId="1" hidden="1">'Data '!$A$1:$Q$244</definedName>
    <definedName name="_xlnm._FilterDatabase" localSheetId="3" hidden="1">'Data on tip by Sex '!$A$1:$A$244</definedName>
    <definedName name="_xlnm._FilterDatabase" localSheetId="4" hidden="1">'Data ontip by time'!$A$1:$A$244</definedName>
    <definedName name="_xlnm._FilterDatabase" localSheetId="0" hidden="1">'tips dataset'!$A$1:$G$244</definedName>
    <definedName name="_xlchart.v1.0" hidden="1">'Model 1'!$M$3</definedName>
    <definedName name="_xlchart.v1.1" hidden="1">'Model 1'!$M$4:$M$246</definedName>
    <definedName name="_xlchart.v1.2" hidden="1">'Model 2'!$L$3</definedName>
    <definedName name="_xlchart.v1.3" hidden="1">'Model 2'!$L$4:$L$246</definedName>
    <definedName name="_xlchart.v1.4" hidden="1">'Model 2'!$L$3</definedName>
    <definedName name="_xlchart.v1.5" hidden="1">'Model 2'!$L$4:$L$246</definedName>
    <definedName name="_xlchart.v1.6" hidden="1">'Model 2'!$L$3</definedName>
    <definedName name="_xlchart.v1.7" hidden="1">'Model 2'!$L$4:$L$246</definedName>
    <definedName name="_xlchart.v1.8" hidden="1">'Model 3'!$O$3</definedName>
    <definedName name="_xlchart.v1.9" hidden="1">'Model 3'!$O$4:$O$246</definedName>
    <definedName name="_xlcn.WorksheetConnection_tipsA1G2441" hidden="1">'tips dataset'!$A$1:$G$244</definedName>
  </definedNames>
  <calcPr calcId="191028"/>
  <pivotCaches>
    <pivotCache cacheId="0" r:id="rId22"/>
    <pivotCache cacheId="91" r:id="rId23"/>
    <pivotCache cacheId="92" r:id="rId24"/>
    <pivotCache cacheId="94" r:id="rId25"/>
    <pivotCache cacheId="95" r:id="rId26"/>
    <pivotCache cacheId="96" r:id="rId27"/>
    <pivotCache cacheId="97" r:id="rId28"/>
    <pivotCache cacheId="98" r:id="rId29"/>
    <pivotCache cacheId="99" r:id="rId30"/>
    <pivotCache cacheId="101" r:id="rId31"/>
    <pivotCache cacheId="102" r:id="rId32"/>
    <pivotCache cacheId="125" r:id="rId33"/>
    <pivotCache cacheId="126" r:id="rId34"/>
    <pivotCache cacheId="127" r:id="rId35"/>
    <pivotCache cacheId="128" r:id="rId36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Range" name="Range" connection="WorksheetConnection_tips!$A$1:$G$244"/>
        </x15:modelTables>
      </x15:dataModel>
    </ext>
  </extLst>
</workbook>
</file>

<file path=xl/calcChain.xml><?xml version="1.0" encoding="utf-8"?>
<calcChain xmlns="http://schemas.openxmlformats.org/spreadsheetml/2006/main">
  <c r="I54" i="22" l="1"/>
  <c r="I53" i="22"/>
  <c r="H54" i="22"/>
  <c r="H53" i="22"/>
  <c r="G56" i="22"/>
  <c r="G57" i="22"/>
  <c r="I48" i="22"/>
  <c r="H48" i="22"/>
  <c r="I47" i="22"/>
  <c r="H47" i="22"/>
  <c r="I44" i="22"/>
  <c r="I43" i="22"/>
  <c r="I32" i="3"/>
  <c r="I31" i="3"/>
  <c r="I28" i="3"/>
  <c r="I27" i="3"/>
  <c r="H32" i="3"/>
  <c r="H31" i="3"/>
  <c r="I20" i="3"/>
  <c r="I19" i="3"/>
  <c r="J5" i="19"/>
  <c r="L25" i="19"/>
  <c r="L24" i="19"/>
  <c r="L23" i="19"/>
  <c r="L22" i="19"/>
  <c r="J25" i="19"/>
  <c r="J24" i="19"/>
  <c r="J23" i="19"/>
  <c r="J22" i="19"/>
  <c r="H22" i="19"/>
  <c r="G10" i="21"/>
  <c r="E10" i="21"/>
  <c r="C10" i="21"/>
  <c r="B34" i="14"/>
  <c r="H3" i="6"/>
  <c r="H4" i="6"/>
  <c r="H5" i="6"/>
  <c r="H6" i="6"/>
  <c r="H7" i="6"/>
  <c r="H8" i="6"/>
  <c r="H9" i="6"/>
  <c r="H10" i="6"/>
  <c r="H11" i="6"/>
  <c r="H12" i="6"/>
  <c r="H13" i="6"/>
  <c r="H14" i="6"/>
  <c r="H15" i="6"/>
  <c r="H16" i="6"/>
  <c r="H17" i="6"/>
  <c r="H18" i="6"/>
  <c r="H19" i="6"/>
  <c r="H20" i="6"/>
  <c r="H21" i="6"/>
  <c r="H22" i="6"/>
  <c r="H23" i="6"/>
  <c r="H24" i="6"/>
  <c r="H25" i="6"/>
  <c r="H26" i="6"/>
  <c r="H27" i="6"/>
  <c r="H28" i="6"/>
  <c r="H29" i="6"/>
  <c r="H30" i="6"/>
  <c r="H31" i="6"/>
  <c r="H32" i="6"/>
  <c r="H33" i="6"/>
  <c r="H34" i="6"/>
  <c r="H35" i="6"/>
  <c r="H36" i="6"/>
  <c r="H37" i="6"/>
  <c r="H38" i="6"/>
  <c r="H39" i="6"/>
  <c r="H40" i="6"/>
  <c r="H41" i="6"/>
  <c r="H42" i="6"/>
  <c r="H43" i="6"/>
  <c r="H44" i="6"/>
  <c r="H45" i="6"/>
  <c r="H46" i="6"/>
  <c r="H47" i="6"/>
  <c r="H48" i="6"/>
  <c r="H49" i="6"/>
  <c r="H50" i="6"/>
  <c r="H51" i="6"/>
  <c r="H52" i="6"/>
  <c r="H53" i="6"/>
  <c r="H54" i="6"/>
  <c r="H55" i="6"/>
  <c r="H56" i="6"/>
  <c r="H57" i="6"/>
  <c r="H58" i="6"/>
  <c r="H59" i="6"/>
  <c r="H60" i="6"/>
  <c r="H61" i="6"/>
  <c r="H62" i="6"/>
  <c r="H63" i="6"/>
  <c r="H64" i="6"/>
  <c r="H65" i="6"/>
  <c r="H66" i="6"/>
  <c r="H67" i="6"/>
  <c r="H68" i="6"/>
  <c r="H69" i="6"/>
  <c r="H70" i="6"/>
  <c r="H71" i="6"/>
  <c r="H72" i="6"/>
  <c r="H73" i="6"/>
  <c r="H74" i="6"/>
  <c r="H75" i="6"/>
  <c r="H76" i="6"/>
  <c r="H77" i="6"/>
  <c r="H78" i="6"/>
  <c r="H79" i="6"/>
  <c r="H80" i="6"/>
  <c r="H81" i="6"/>
  <c r="H82" i="6"/>
  <c r="H83" i="6"/>
  <c r="H84" i="6"/>
  <c r="H85" i="6"/>
  <c r="H86" i="6"/>
  <c r="H87" i="6"/>
  <c r="H88" i="6"/>
  <c r="H89" i="6"/>
  <c r="H90" i="6"/>
  <c r="H91" i="6"/>
  <c r="H92" i="6"/>
  <c r="H93" i="6"/>
  <c r="H94" i="6"/>
  <c r="H95" i="6"/>
  <c r="H96" i="6"/>
  <c r="H97" i="6"/>
  <c r="H98" i="6"/>
  <c r="H99" i="6"/>
  <c r="H100" i="6"/>
  <c r="H101" i="6"/>
  <c r="H102" i="6"/>
  <c r="H103" i="6"/>
  <c r="H104" i="6"/>
  <c r="H105" i="6"/>
  <c r="H106" i="6"/>
  <c r="H107" i="6"/>
  <c r="H108" i="6"/>
  <c r="H109" i="6"/>
  <c r="H110" i="6"/>
  <c r="H111" i="6"/>
  <c r="H112" i="6"/>
  <c r="H113" i="6"/>
  <c r="H114" i="6"/>
  <c r="H115" i="6"/>
  <c r="H116" i="6"/>
  <c r="H117" i="6"/>
  <c r="H118" i="6"/>
  <c r="H119" i="6"/>
  <c r="H120" i="6"/>
  <c r="H121" i="6"/>
  <c r="H122" i="6"/>
  <c r="H123" i="6"/>
  <c r="H124" i="6"/>
  <c r="H125" i="6"/>
  <c r="H126" i="6"/>
  <c r="H127" i="6"/>
  <c r="H128" i="6"/>
  <c r="H129" i="6"/>
  <c r="H130" i="6"/>
  <c r="H131" i="6"/>
  <c r="H132" i="6"/>
  <c r="H133" i="6"/>
  <c r="H134" i="6"/>
  <c r="H135" i="6"/>
  <c r="H136" i="6"/>
  <c r="H137" i="6"/>
  <c r="H138" i="6"/>
  <c r="H139" i="6"/>
  <c r="H140" i="6"/>
  <c r="H141" i="6"/>
  <c r="H142" i="6"/>
  <c r="H143" i="6"/>
  <c r="H144" i="6"/>
  <c r="H145" i="6"/>
  <c r="H146" i="6"/>
  <c r="H147" i="6"/>
  <c r="H148" i="6"/>
  <c r="H149" i="6"/>
  <c r="H150" i="6"/>
  <c r="H151" i="6"/>
  <c r="H152" i="6"/>
  <c r="H153" i="6"/>
  <c r="H154" i="6"/>
  <c r="H155" i="6"/>
  <c r="H156" i="6"/>
  <c r="H157" i="6"/>
  <c r="H158" i="6"/>
  <c r="H159" i="6"/>
  <c r="H160" i="6"/>
  <c r="H161" i="6"/>
  <c r="H162" i="6"/>
  <c r="H163" i="6"/>
  <c r="H164" i="6"/>
  <c r="H165" i="6"/>
  <c r="H166" i="6"/>
  <c r="H167" i="6"/>
  <c r="H168" i="6"/>
  <c r="H169" i="6"/>
  <c r="H170" i="6"/>
  <c r="H171" i="6"/>
  <c r="H172" i="6"/>
  <c r="H173" i="6"/>
  <c r="H174" i="6"/>
  <c r="H175" i="6"/>
  <c r="H176" i="6"/>
  <c r="H177" i="6"/>
  <c r="H178" i="6"/>
  <c r="H179" i="6"/>
  <c r="H180" i="6"/>
  <c r="H181" i="6"/>
  <c r="H182" i="6"/>
  <c r="H183" i="6"/>
  <c r="H184" i="6"/>
  <c r="H185" i="6"/>
  <c r="H186" i="6"/>
  <c r="H187" i="6"/>
  <c r="H188" i="6"/>
  <c r="H189" i="6"/>
  <c r="H190" i="6"/>
  <c r="H191" i="6"/>
  <c r="H192" i="6"/>
  <c r="H193" i="6"/>
  <c r="H194" i="6"/>
  <c r="H195" i="6"/>
  <c r="H196" i="6"/>
  <c r="H197" i="6"/>
  <c r="H198" i="6"/>
  <c r="H199" i="6"/>
  <c r="H200" i="6"/>
  <c r="H201" i="6"/>
  <c r="H202" i="6"/>
  <c r="H203" i="6"/>
  <c r="H204" i="6"/>
  <c r="H205" i="6"/>
  <c r="H206" i="6"/>
  <c r="H207" i="6"/>
  <c r="H208" i="6"/>
  <c r="H209" i="6"/>
  <c r="H210" i="6"/>
  <c r="H211" i="6"/>
  <c r="H212" i="6"/>
  <c r="H213" i="6"/>
  <c r="H214" i="6"/>
  <c r="H215" i="6"/>
  <c r="H216" i="6"/>
  <c r="H217" i="6"/>
  <c r="H218" i="6"/>
  <c r="H219" i="6"/>
  <c r="H220" i="6"/>
  <c r="H221" i="6"/>
  <c r="H222" i="6"/>
  <c r="H223" i="6"/>
  <c r="H224" i="6"/>
  <c r="H225" i="6"/>
  <c r="H226" i="6"/>
  <c r="H227" i="6"/>
  <c r="H228" i="6"/>
  <c r="H229" i="6"/>
  <c r="H230" i="6"/>
  <c r="H231" i="6"/>
  <c r="H232" i="6"/>
  <c r="H233" i="6"/>
  <c r="H234" i="6"/>
  <c r="H235" i="6"/>
  <c r="H236" i="6"/>
  <c r="H237" i="6"/>
  <c r="H238" i="6"/>
  <c r="H239" i="6"/>
  <c r="H240" i="6"/>
  <c r="H241" i="6"/>
  <c r="H242" i="6"/>
  <c r="H243" i="6"/>
  <c r="H244" i="6"/>
  <c r="H2" i="6"/>
  <c r="C3" i="6"/>
  <c r="C4" i="6"/>
  <c r="C5" i="6"/>
  <c r="C6" i="6"/>
  <c r="C7" i="6"/>
  <c r="C8" i="6"/>
  <c r="C9" i="6"/>
  <c r="C10" i="6"/>
  <c r="C11" i="6"/>
  <c r="C12" i="6"/>
  <c r="C13" i="6"/>
  <c r="C14" i="6"/>
  <c r="C15" i="6"/>
  <c r="C16" i="6"/>
  <c r="C17" i="6"/>
  <c r="C18" i="6"/>
  <c r="C19" i="6"/>
  <c r="C20" i="6"/>
  <c r="C21" i="6"/>
  <c r="C22" i="6"/>
  <c r="C23" i="6"/>
  <c r="C24" i="6"/>
  <c r="C25" i="6"/>
  <c r="C26" i="6"/>
  <c r="C27" i="6"/>
  <c r="C28" i="6"/>
  <c r="C29" i="6"/>
  <c r="C30" i="6"/>
  <c r="C31" i="6"/>
  <c r="C32" i="6"/>
  <c r="C33" i="6"/>
  <c r="C34" i="6"/>
  <c r="C35" i="6"/>
  <c r="C36" i="6"/>
  <c r="C37" i="6"/>
  <c r="C38" i="6"/>
  <c r="C39" i="6"/>
  <c r="C40" i="6"/>
  <c r="C41" i="6"/>
  <c r="C42" i="6"/>
  <c r="C43" i="6"/>
  <c r="C44" i="6"/>
  <c r="C45" i="6"/>
  <c r="C46" i="6"/>
  <c r="C47" i="6"/>
  <c r="C48" i="6"/>
  <c r="C49" i="6"/>
  <c r="C50" i="6"/>
  <c r="C51" i="6"/>
  <c r="C52" i="6"/>
  <c r="C53" i="6"/>
  <c r="C54" i="6"/>
  <c r="C55" i="6"/>
  <c r="C56" i="6"/>
  <c r="C57" i="6"/>
  <c r="C58" i="6"/>
  <c r="C59" i="6"/>
  <c r="C60" i="6"/>
  <c r="C61" i="6"/>
  <c r="C62" i="6"/>
  <c r="C63" i="6"/>
  <c r="C64" i="6"/>
  <c r="C65" i="6"/>
  <c r="C66" i="6"/>
  <c r="C67" i="6"/>
  <c r="C68" i="6"/>
  <c r="C69" i="6"/>
  <c r="C70" i="6"/>
  <c r="C71" i="6"/>
  <c r="C72" i="6"/>
  <c r="C73" i="6"/>
  <c r="C74" i="6"/>
  <c r="C75" i="6"/>
  <c r="C76" i="6"/>
  <c r="C77" i="6"/>
  <c r="C78" i="6"/>
  <c r="C79" i="6"/>
  <c r="C80" i="6"/>
  <c r="C81" i="6"/>
  <c r="C82" i="6"/>
  <c r="C83" i="6"/>
  <c r="C84" i="6"/>
  <c r="C85" i="6"/>
  <c r="C86" i="6"/>
  <c r="C87" i="6"/>
  <c r="C88" i="6"/>
  <c r="C89" i="6"/>
  <c r="C90" i="6"/>
  <c r="C91" i="6"/>
  <c r="C92" i="6"/>
  <c r="C93" i="6"/>
  <c r="C94" i="6"/>
  <c r="C95" i="6"/>
  <c r="C96" i="6"/>
  <c r="C97" i="6"/>
  <c r="C98" i="6"/>
  <c r="C99" i="6"/>
  <c r="C100" i="6"/>
  <c r="C101" i="6"/>
  <c r="C102" i="6"/>
  <c r="C103" i="6"/>
  <c r="C104" i="6"/>
  <c r="C105" i="6"/>
  <c r="C106" i="6"/>
  <c r="C107" i="6"/>
  <c r="C108" i="6"/>
  <c r="C109" i="6"/>
  <c r="C110" i="6"/>
  <c r="C111" i="6"/>
  <c r="C112" i="6"/>
  <c r="C113" i="6"/>
  <c r="C114" i="6"/>
  <c r="C115" i="6"/>
  <c r="C116" i="6"/>
  <c r="C117" i="6"/>
  <c r="C118" i="6"/>
  <c r="C119" i="6"/>
  <c r="C120" i="6"/>
  <c r="C121" i="6"/>
  <c r="C122" i="6"/>
  <c r="C123" i="6"/>
  <c r="C124" i="6"/>
  <c r="C125" i="6"/>
  <c r="C126" i="6"/>
  <c r="C127" i="6"/>
  <c r="C128" i="6"/>
  <c r="C129" i="6"/>
  <c r="C130" i="6"/>
  <c r="C131" i="6"/>
  <c r="C132" i="6"/>
  <c r="C133" i="6"/>
  <c r="C134" i="6"/>
  <c r="C135" i="6"/>
  <c r="C136" i="6"/>
  <c r="C137" i="6"/>
  <c r="C138" i="6"/>
  <c r="C139" i="6"/>
  <c r="C140" i="6"/>
  <c r="C141" i="6"/>
  <c r="C142" i="6"/>
  <c r="C143" i="6"/>
  <c r="C144" i="6"/>
  <c r="C145" i="6"/>
  <c r="C146" i="6"/>
  <c r="C147" i="6"/>
  <c r="C148" i="6"/>
  <c r="C149" i="6"/>
  <c r="C150" i="6"/>
  <c r="C151" i="6"/>
  <c r="C152" i="6"/>
  <c r="C153" i="6"/>
  <c r="C154" i="6"/>
  <c r="C155" i="6"/>
  <c r="C156" i="6"/>
  <c r="C157" i="6"/>
  <c r="C158" i="6"/>
  <c r="C159" i="6"/>
  <c r="C160" i="6"/>
  <c r="C161" i="6"/>
  <c r="C162" i="6"/>
  <c r="C163" i="6"/>
  <c r="C164" i="6"/>
  <c r="C165" i="6"/>
  <c r="C166" i="6"/>
  <c r="C167" i="6"/>
  <c r="C168" i="6"/>
  <c r="C169" i="6"/>
  <c r="C170" i="6"/>
  <c r="C171" i="6"/>
  <c r="C172" i="6"/>
  <c r="C173" i="6"/>
  <c r="C174" i="6"/>
  <c r="C175" i="6"/>
  <c r="C176" i="6"/>
  <c r="C177" i="6"/>
  <c r="C178" i="6"/>
  <c r="C179" i="6"/>
  <c r="C180" i="6"/>
  <c r="C181" i="6"/>
  <c r="C182" i="6"/>
  <c r="C183" i="6"/>
  <c r="C184" i="6"/>
  <c r="C185" i="6"/>
  <c r="C186" i="6"/>
  <c r="C187" i="6"/>
  <c r="C188" i="6"/>
  <c r="C189" i="6"/>
  <c r="C190" i="6"/>
  <c r="C191" i="6"/>
  <c r="C192" i="6"/>
  <c r="C193" i="6"/>
  <c r="C194" i="6"/>
  <c r="C195" i="6"/>
  <c r="C196" i="6"/>
  <c r="C197" i="6"/>
  <c r="C198" i="6"/>
  <c r="C199" i="6"/>
  <c r="C200" i="6"/>
  <c r="C201" i="6"/>
  <c r="C202" i="6"/>
  <c r="C203" i="6"/>
  <c r="C204" i="6"/>
  <c r="C205" i="6"/>
  <c r="C206" i="6"/>
  <c r="C207" i="6"/>
  <c r="C208" i="6"/>
  <c r="C209" i="6"/>
  <c r="C210" i="6"/>
  <c r="C211" i="6"/>
  <c r="C212" i="6"/>
  <c r="C213" i="6"/>
  <c r="C214" i="6"/>
  <c r="C215" i="6"/>
  <c r="C216" i="6"/>
  <c r="C217" i="6"/>
  <c r="C218" i="6"/>
  <c r="C219" i="6"/>
  <c r="C220" i="6"/>
  <c r="C221" i="6"/>
  <c r="C222" i="6"/>
  <c r="C223" i="6"/>
  <c r="C224" i="6"/>
  <c r="C225" i="6"/>
  <c r="C226" i="6"/>
  <c r="C227" i="6"/>
  <c r="C228" i="6"/>
  <c r="C229" i="6"/>
  <c r="C230" i="6"/>
  <c r="C231" i="6"/>
  <c r="C232" i="6"/>
  <c r="C233" i="6"/>
  <c r="C234" i="6"/>
  <c r="C235" i="6"/>
  <c r="C236" i="6"/>
  <c r="C237" i="6"/>
  <c r="C238" i="6"/>
  <c r="C239" i="6"/>
  <c r="C240" i="6"/>
  <c r="C241" i="6"/>
  <c r="C242" i="6"/>
  <c r="C243" i="6"/>
  <c r="C244" i="6"/>
  <c r="C2" i="6"/>
  <c r="D3" i="6"/>
  <c r="D4" i="6"/>
  <c r="D5" i="6"/>
  <c r="D6" i="6"/>
  <c r="D7" i="6"/>
  <c r="D8" i="6"/>
  <c r="D9" i="6"/>
  <c r="D10" i="6"/>
  <c r="D11" i="6"/>
  <c r="D12" i="6"/>
  <c r="D13" i="6"/>
  <c r="D14" i="6"/>
  <c r="D15" i="6"/>
  <c r="D16" i="6"/>
  <c r="D17" i="6"/>
  <c r="D18" i="6"/>
  <c r="D19" i="6"/>
  <c r="D20" i="6"/>
  <c r="D21" i="6"/>
  <c r="D22" i="6"/>
  <c r="D23" i="6"/>
  <c r="D24" i="6"/>
  <c r="D25" i="6"/>
  <c r="D26" i="6"/>
  <c r="D27" i="6"/>
  <c r="D28" i="6"/>
  <c r="D29" i="6"/>
  <c r="D30" i="6"/>
  <c r="D31" i="6"/>
  <c r="D32" i="6"/>
  <c r="D33" i="6"/>
  <c r="D34" i="6"/>
  <c r="D35" i="6"/>
  <c r="D36" i="6"/>
  <c r="D37" i="6"/>
  <c r="D38" i="6"/>
  <c r="D39" i="6"/>
  <c r="D40" i="6"/>
  <c r="D41" i="6"/>
  <c r="D42" i="6"/>
  <c r="D43" i="6"/>
  <c r="D44" i="6"/>
  <c r="D45" i="6"/>
  <c r="D46" i="6"/>
  <c r="D47" i="6"/>
  <c r="D48" i="6"/>
  <c r="D49" i="6"/>
  <c r="D50" i="6"/>
  <c r="D51" i="6"/>
  <c r="D52" i="6"/>
  <c r="D53" i="6"/>
  <c r="D54" i="6"/>
  <c r="D55" i="6"/>
  <c r="D56" i="6"/>
  <c r="D57" i="6"/>
  <c r="D58" i="6"/>
  <c r="D59" i="6"/>
  <c r="D60" i="6"/>
  <c r="D61" i="6"/>
  <c r="D62" i="6"/>
  <c r="D63" i="6"/>
  <c r="D64" i="6"/>
  <c r="D65" i="6"/>
  <c r="D66" i="6"/>
  <c r="D67" i="6"/>
  <c r="D68" i="6"/>
  <c r="D69" i="6"/>
  <c r="D70" i="6"/>
  <c r="D71" i="6"/>
  <c r="D72" i="6"/>
  <c r="D73" i="6"/>
  <c r="D74" i="6"/>
  <c r="D75" i="6"/>
  <c r="D76" i="6"/>
  <c r="D77" i="6"/>
  <c r="D78" i="6"/>
  <c r="D79" i="6"/>
  <c r="D80" i="6"/>
  <c r="D81" i="6"/>
  <c r="D82" i="6"/>
  <c r="D83" i="6"/>
  <c r="D84" i="6"/>
  <c r="D85" i="6"/>
  <c r="D86" i="6"/>
  <c r="D87" i="6"/>
  <c r="D88" i="6"/>
  <c r="D89" i="6"/>
  <c r="D90" i="6"/>
  <c r="D91" i="6"/>
  <c r="D92" i="6"/>
  <c r="D93" i="6"/>
  <c r="D94" i="6"/>
  <c r="D95" i="6"/>
  <c r="D96" i="6"/>
  <c r="D97" i="6"/>
  <c r="D98" i="6"/>
  <c r="D99" i="6"/>
  <c r="D100" i="6"/>
  <c r="D101" i="6"/>
  <c r="D102" i="6"/>
  <c r="D103" i="6"/>
  <c r="D104" i="6"/>
  <c r="D105" i="6"/>
  <c r="D106" i="6"/>
  <c r="D107" i="6"/>
  <c r="D108" i="6"/>
  <c r="D109" i="6"/>
  <c r="D110" i="6"/>
  <c r="D111" i="6"/>
  <c r="D112" i="6"/>
  <c r="D113" i="6"/>
  <c r="D114" i="6"/>
  <c r="D115" i="6"/>
  <c r="D116" i="6"/>
  <c r="D117" i="6"/>
  <c r="D118" i="6"/>
  <c r="D119" i="6"/>
  <c r="D120" i="6"/>
  <c r="D121" i="6"/>
  <c r="D122" i="6"/>
  <c r="D123" i="6"/>
  <c r="D124" i="6"/>
  <c r="D125" i="6"/>
  <c r="D126" i="6"/>
  <c r="D127" i="6"/>
  <c r="D128" i="6"/>
  <c r="D129" i="6"/>
  <c r="D130" i="6"/>
  <c r="D131" i="6"/>
  <c r="D132" i="6"/>
  <c r="D133" i="6"/>
  <c r="D134" i="6"/>
  <c r="D135" i="6"/>
  <c r="D136" i="6"/>
  <c r="D137" i="6"/>
  <c r="D138" i="6"/>
  <c r="D139" i="6"/>
  <c r="D140" i="6"/>
  <c r="D141" i="6"/>
  <c r="D142" i="6"/>
  <c r="D143" i="6"/>
  <c r="D144" i="6"/>
  <c r="D145" i="6"/>
  <c r="D146" i="6"/>
  <c r="D147" i="6"/>
  <c r="D148" i="6"/>
  <c r="D149" i="6"/>
  <c r="D150" i="6"/>
  <c r="D151" i="6"/>
  <c r="D152" i="6"/>
  <c r="D153" i="6"/>
  <c r="D154" i="6"/>
  <c r="D155" i="6"/>
  <c r="D156" i="6"/>
  <c r="D157" i="6"/>
  <c r="D158" i="6"/>
  <c r="D159" i="6"/>
  <c r="D160" i="6"/>
  <c r="D161" i="6"/>
  <c r="D162" i="6"/>
  <c r="D163" i="6"/>
  <c r="D164" i="6"/>
  <c r="D165" i="6"/>
  <c r="D166" i="6"/>
  <c r="D167" i="6"/>
  <c r="D168" i="6"/>
  <c r="D169" i="6"/>
  <c r="D170" i="6"/>
  <c r="D171" i="6"/>
  <c r="D172" i="6"/>
  <c r="D173" i="6"/>
  <c r="D174" i="6"/>
  <c r="D175" i="6"/>
  <c r="D176" i="6"/>
  <c r="D177" i="6"/>
  <c r="D178" i="6"/>
  <c r="D179" i="6"/>
  <c r="D180" i="6"/>
  <c r="D181" i="6"/>
  <c r="D182" i="6"/>
  <c r="D183" i="6"/>
  <c r="D184" i="6"/>
  <c r="D185" i="6"/>
  <c r="D186" i="6"/>
  <c r="D187" i="6"/>
  <c r="D188" i="6"/>
  <c r="D189" i="6"/>
  <c r="D190" i="6"/>
  <c r="D191" i="6"/>
  <c r="D192" i="6"/>
  <c r="D193" i="6"/>
  <c r="D194" i="6"/>
  <c r="D195" i="6"/>
  <c r="D196" i="6"/>
  <c r="D197" i="6"/>
  <c r="D198" i="6"/>
  <c r="D199" i="6"/>
  <c r="D200" i="6"/>
  <c r="D201" i="6"/>
  <c r="D202" i="6"/>
  <c r="D203" i="6"/>
  <c r="D204" i="6"/>
  <c r="D205" i="6"/>
  <c r="D206" i="6"/>
  <c r="D207" i="6"/>
  <c r="D208" i="6"/>
  <c r="D209" i="6"/>
  <c r="D210" i="6"/>
  <c r="D211" i="6"/>
  <c r="D212" i="6"/>
  <c r="D213" i="6"/>
  <c r="D214" i="6"/>
  <c r="D215" i="6"/>
  <c r="D216" i="6"/>
  <c r="D217" i="6"/>
  <c r="D218" i="6"/>
  <c r="D219" i="6"/>
  <c r="D220" i="6"/>
  <c r="D221" i="6"/>
  <c r="D222" i="6"/>
  <c r="D223" i="6"/>
  <c r="D224" i="6"/>
  <c r="D225" i="6"/>
  <c r="D226" i="6"/>
  <c r="D227" i="6"/>
  <c r="D228" i="6"/>
  <c r="D229" i="6"/>
  <c r="D230" i="6"/>
  <c r="D231" i="6"/>
  <c r="D232" i="6"/>
  <c r="D233" i="6"/>
  <c r="D234" i="6"/>
  <c r="D235" i="6"/>
  <c r="D236" i="6"/>
  <c r="D237" i="6"/>
  <c r="D238" i="6"/>
  <c r="D239" i="6"/>
  <c r="D240" i="6"/>
  <c r="D241" i="6"/>
  <c r="D242" i="6"/>
  <c r="D243" i="6"/>
  <c r="D244" i="6"/>
  <c r="D2" i="6"/>
  <c r="B3" i="6"/>
  <c r="B4" i="6"/>
  <c r="B5" i="6"/>
  <c r="B6" i="6"/>
  <c r="B7" i="6"/>
  <c r="B8" i="6"/>
  <c r="B9" i="6"/>
  <c r="B10" i="6"/>
  <c r="B11" i="6"/>
  <c r="B12" i="6"/>
  <c r="B13" i="6"/>
  <c r="B14" i="6"/>
  <c r="B15" i="6"/>
  <c r="B16" i="6"/>
  <c r="B17" i="6"/>
  <c r="B18" i="6"/>
  <c r="B19" i="6"/>
  <c r="B20" i="6"/>
  <c r="B21" i="6"/>
  <c r="B22" i="6"/>
  <c r="B23" i="6"/>
  <c r="B24" i="6"/>
  <c r="B25" i="6"/>
  <c r="B26" i="6"/>
  <c r="B27" i="6"/>
  <c r="B28" i="6"/>
  <c r="B29" i="6"/>
  <c r="B30" i="6"/>
  <c r="B31" i="6"/>
  <c r="B32" i="6"/>
  <c r="B33" i="6"/>
  <c r="B34" i="6"/>
  <c r="B35" i="6"/>
  <c r="B36" i="6"/>
  <c r="B37" i="6"/>
  <c r="B38" i="6"/>
  <c r="B39" i="6"/>
  <c r="B40" i="6"/>
  <c r="B41" i="6"/>
  <c r="B42" i="6"/>
  <c r="B43" i="6"/>
  <c r="B44" i="6"/>
  <c r="B45" i="6"/>
  <c r="B46" i="6"/>
  <c r="B47" i="6"/>
  <c r="B48" i="6"/>
  <c r="B49" i="6"/>
  <c r="B50" i="6"/>
  <c r="B51" i="6"/>
  <c r="B52" i="6"/>
  <c r="B53" i="6"/>
  <c r="B54" i="6"/>
  <c r="B55" i="6"/>
  <c r="B56" i="6"/>
  <c r="B57" i="6"/>
  <c r="B58" i="6"/>
  <c r="B59" i="6"/>
  <c r="B60" i="6"/>
  <c r="B61" i="6"/>
  <c r="B62" i="6"/>
  <c r="B63" i="6"/>
  <c r="B64" i="6"/>
  <c r="B65" i="6"/>
  <c r="B66" i="6"/>
  <c r="B67" i="6"/>
  <c r="B68" i="6"/>
  <c r="B69" i="6"/>
  <c r="B70" i="6"/>
  <c r="B71" i="6"/>
  <c r="B72" i="6"/>
  <c r="B73" i="6"/>
  <c r="B74" i="6"/>
  <c r="B75" i="6"/>
  <c r="B76" i="6"/>
  <c r="B77" i="6"/>
  <c r="B78" i="6"/>
  <c r="B79" i="6"/>
  <c r="B80" i="6"/>
  <c r="B81" i="6"/>
  <c r="B82" i="6"/>
  <c r="B83" i="6"/>
  <c r="B84" i="6"/>
  <c r="B85" i="6"/>
  <c r="B86" i="6"/>
  <c r="B87" i="6"/>
  <c r="B88" i="6"/>
  <c r="B89" i="6"/>
  <c r="B90" i="6"/>
  <c r="B91" i="6"/>
  <c r="B92" i="6"/>
  <c r="B93" i="6"/>
  <c r="B94" i="6"/>
  <c r="B95" i="6"/>
  <c r="B96" i="6"/>
  <c r="B97" i="6"/>
  <c r="B98" i="6"/>
  <c r="B99" i="6"/>
  <c r="B100" i="6"/>
  <c r="B101" i="6"/>
  <c r="B102" i="6"/>
  <c r="B103" i="6"/>
  <c r="B104" i="6"/>
  <c r="B105" i="6"/>
  <c r="B106" i="6"/>
  <c r="B107" i="6"/>
  <c r="B108" i="6"/>
  <c r="B109" i="6"/>
  <c r="B110" i="6"/>
  <c r="B111" i="6"/>
  <c r="B112" i="6"/>
  <c r="B113" i="6"/>
  <c r="B114" i="6"/>
  <c r="B115" i="6"/>
  <c r="B116" i="6"/>
  <c r="B117" i="6"/>
  <c r="B118" i="6"/>
  <c r="B119" i="6"/>
  <c r="B120" i="6"/>
  <c r="B121" i="6"/>
  <c r="B122" i="6"/>
  <c r="B123" i="6"/>
  <c r="B124" i="6"/>
  <c r="B125" i="6"/>
  <c r="B126" i="6"/>
  <c r="B127" i="6"/>
  <c r="B128" i="6"/>
  <c r="B129" i="6"/>
  <c r="B130" i="6"/>
  <c r="B131" i="6"/>
  <c r="B132" i="6"/>
  <c r="B133" i="6"/>
  <c r="B134" i="6"/>
  <c r="B135" i="6"/>
  <c r="B136" i="6"/>
  <c r="B137" i="6"/>
  <c r="B138" i="6"/>
  <c r="B139" i="6"/>
  <c r="B140" i="6"/>
  <c r="B141" i="6"/>
  <c r="B142" i="6"/>
  <c r="B143" i="6"/>
  <c r="B144" i="6"/>
  <c r="B145" i="6"/>
  <c r="B146" i="6"/>
  <c r="B147" i="6"/>
  <c r="B148" i="6"/>
  <c r="B149" i="6"/>
  <c r="B150" i="6"/>
  <c r="B151" i="6"/>
  <c r="B152" i="6"/>
  <c r="B153" i="6"/>
  <c r="B154" i="6"/>
  <c r="B155" i="6"/>
  <c r="B156" i="6"/>
  <c r="B157" i="6"/>
  <c r="B158" i="6"/>
  <c r="B159" i="6"/>
  <c r="B160" i="6"/>
  <c r="B161" i="6"/>
  <c r="B162" i="6"/>
  <c r="B163" i="6"/>
  <c r="B164" i="6"/>
  <c r="B165" i="6"/>
  <c r="B166" i="6"/>
  <c r="B167" i="6"/>
  <c r="B168" i="6"/>
  <c r="B169" i="6"/>
  <c r="B170" i="6"/>
  <c r="B171" i="6"/>
  <c r="B172" i="6"/>
  <c r="B173" i="6"/>
  <c r="B174" i="6"/>
  <c r="B175" i="6"/>
  <c r="B176" i="6"/>
  <c r="B177" i="6"/>
  <c r="B178" i="6"/>
  <c r="B179" i="6"/>
  <c r="B180" i="6"/>
  <c r="B181" i="6"/>
  <c r="B182" i="6"/>
  <c r="B183" i="6"/>
  <c r="B184" i="6"/>
  <c r="B185" i="6"/>
  <c r="B186" i="6"/>
  <c r="B187" i="6"/>
  <c r="B188" i="6"/>
  <c r="B189" i="6"/>
  <c r="B190" i="6"/>
  <c r="B191" i="6"/>
  <c r="B192" i="6"/>
  <c r="B193" i="6"/>
  <c r="B194" i="6"/>
  <c r="B195" i="6"/>
  <c r="B196" i="6"/>
  <c r="B197" i="6"/>
  <c r="B198" i="6"/>
  <c r="B199" i="6"/>
  <c r="B200" i="6"/>
  <c r="B201" i="6"/>
  <c r="B202" i="6"/>
  <c r="B203" i="6"/>
  <c r="B204" i="6"/>
  <c r="B205" i="6"/>
  <c r="B206" i="6"/>
  <c r="B207" i="6"/>
  <c r="B208" i="6"/>
  <c r="B209" i="6"/>
  <c r="B210" i="6"/>
  <c r="B211" i="6"/>
  <c r="B212" i="6"/>
  <c r="B213" i="6"/>
  <c r="B214" i="6"/>
  <c r="B215" i="6"/>
  <c r="B216" i="6"/>
  <c r="B217" i="6"/>
  <c r="B218" i="6"/>
  <c r="B219" i="6"/>
  <c r="B220" i="6"/>
  <c r="B221" i="6"/>
  <c r="B222" i="6"/>
  <c r="B223" i="6"/>
  <c r="B224" i="6"/>
  <c r="B225" i="6"/>
  <c r="B226" i="6"/>
  <c r="B227" i="6"/>
  <c r="B228" i="6"/>
  <c r="B229" i="6"/>
  <c r="B230" i="6"/>
  <c r="B231" i="6"/>
  <c r="B232" i="6"/>
  <c r="B233" i="6"/>
  <c r="B234" i="6"/>
  <c r="B235" i="6"/>
  <c r="B236" i="6"/>
  <c r="B237" i="6"/>
  <c r="B238" i="6"/>
  <c r="B239" i="6"/>
  <c r="B240" i="6"/>
  <c r="B241" i="6"/>
  <c r="B242" i="6"/>
  <c r="B243" i="6"/>
  <c r="B244" i="6"/>
  <c r="B2" i="6"/>
  <c r="A3" i="6"/>
  <c r="A4" i="6"/>
  <c r="A5" i="6"/>
  <c r="A6" i="6"/>
  <c r="A7" i="6"/>
  <c r="A8" i="6"/>
  <c r="A9" i="6"/>
  <c r="A10" i="6"/>
  <c r="A11" i="6"/>
  <c r="A12" i="6"/>
  <c r="A13" i="6"/>
  <c r="A14" i="6"/>
  <c r="A15" i="6"/>
  <c r="A16" i="6"/>
  <c r="A17" i="6"/>
  <c r="A18" i="6"/>
  <c r="A19" i="6"/>
  <c r="A20" i="6"/>
  <c r="A21" i="6"/>
  <c r="A22" i="6"/>
  <c r="A23" i="6"/>
  <c r="A24" i="6"/>
  <c r="A25" i="6"/>
  <c r="A26" i="6"/>
  <c r="A27" i="6"/>
  <c r="A28" i="6"/>
  <c r="A29" i="6"/>
  <c r="A30" i="6"/>
  <c r="A31" i="6"/>
  <c r="A32" i="6"/>
  <c r="A33" i="6"/>
  <c r="A34" i="6"/>
  <c r="A35" i="6"/>
  <c r="A36" i="6"/>
  <c r="A37" i="6"/>
  <c r="A38" i="6"/>
  <c r="A39" i="6"/>
  <c r="A40" i="6"/>
  <c r="A41" i="6"/>
  <c r="A42" i="6"/>
  <c r="A43" i="6"/>
  <c r="A44" i="6"/>
  <c r="A45" i="6"/>
  <c r="A46" i="6"/>
  <c r="A47" i="6"/>
  <c r="A48" i="6"/>
  <c r="A49" i="6"/>
  <c r="A50" i="6"/>
  <c r="A51" i="6"/>
  <c r="A52" i="6"/>
  <c r="A53" i="6"/>
  <c r="A54" i="6"/>
  <c r="A55" i="6"/>
  <c r="A56" i="6"/>
  <c r="A57" i="6"/>
  <c r="A58" i="6"/>
  <c r="A59" i="6"/>
  <c r="A60" i="6"/>
  <c r="A61" i="6"/>
  <c r="A62" i="6"/>
  <c r="A63" i="6"/>
  <c r="A64" i="6"/>
  <c r="A65" i="6"/>
  <c r="A66" i="6"/>
  <c r="A67" i="6"/>
  <c r="A68" i="6"/>
  <c r="A69" i="6"/>
  <c r="A70" i="6"/>
  <c r="A71" i="6"/>
  <c r="A72" i="6"/>
  <c r="A73" i="6"/>
  <c r="A74" i="6"/>
  <c r="A75" i="6"/>
  <c r="A76" i="6"/>
  <c r="A77" i="6"/>
  <c r="A78" i="6"/>
  <c r="A79" i="6"/>
  <c r="A80" i="6"/>
  <c r="A81" i="6"/>
  <c r="A82" i="6"/>
  <c r="A83" i="6"/>
  <c r="A84" i="6"/>
  <c r="A85" i="6"/>
  <c r="A86" i="6"/>
  <c r="A87" i="6"/>
  <c r="A88" i="6"/>
  <c r="A89" i="6"/>
  <c r="A90" i="6"/>
  <c r="A91" i="6"/>
  <c r="A92" i="6"/>
  <c r="A93" i="6"/>
  <c r="A94" i="6"/>
  <c r="A95" i="6"/>
  <c r="A96" i="6"/>
  <c r="A97" i="6"/>
  <c r="A98" i="6"/>
  <c r="A99" i="6"/>
  <c r="A100" i="6"/>
  <c r="A101" i="6"/>
  <c r="A102" i="6"/>
  <c r="A103" i="6"/>
  <c r="A104" i="6"/>
  <c r="A105" i="6"/>
  <c r="A106" i="6"/>
  <c r="A107" i="6"/>
  <c r="A108" i="6"/>
  <c r="A109" i="6"/>
  <c r="A110" i="6"/>
  <c r="A111" i="6"/>
  <c r="A112" i="6"/>
  <c r="A113" i="6"/>
  <c r="A114" i="6"/>
  <c r="A115" i="6"/>
  <c r="A116" i="6"/>
  <c r="A117" i="6"/>
  <c r="A118" i="6"/>
  <c r="A119" i="6"/>
  <c r="A120" i="6"/>
  <c r="A121" i="6"/>
  <c r="A122" i="6"/>
  <c r="A123" i="6"/>
  <c r="A124" i="6"/>
  <c r="A125" i="6"/>
  <c r="A126" i="6"/>
  <c r="A127" i="6"/>
  <c r="A128" i="6"/>
  <c r="A129" i="6"/>
  <c r="A130" i="6"/>
  <c r="A131" i="6"/>
  <c r="A132" i="6"/>
  <c r="A133" i="6"/>
  <c r="A134" i="6"/>
  <c r="A135" i="6"/>
  <c r="A136" i="6"/>
  <c r="A137" i="6"/>
  <c r="A138" i="6"/>
  <c r="A139" i="6"/>
  <c r="A140" i="6"/>
  <c r="A141" i="6"/>
  <c r="A142" i="6"/>
  <c r="A143" i="6"/>
  <c r="A144" i="6"/>
  <c r="A145" i="6"/>
  <c r="A146" i="6"/>
  <c r="A147" i="6"/>
  <c r="A148" i="6"/>
  <c r="A149" i="6"/>
  <c r="A150" i="6"/>
  <c r="A151" i="6"/>
  <c r="A152" i="6"/>
  <c r="A153" i="6"/>
  <c r="A154" i="6"/>
  <c r="A155" i="6"/>
  <c r="A156" i="6"/>
  <c r="A157" i="6"/>
  <c r="A158" i="6"/>
  <c r="A159" i="6"/>
  <c r="A160" i="6"/>
  <c r="A161" i="6"/>
  <c r="A162" i="6"/>
  <c r="A163" i="6"/>
  <c r="A164" i="6"/>
  <c r="A165" i="6"/>
  <c r="A166" i="6"/>
  <c r="A167" i="6"/>
  <c r="A168" i="6"/>
  <c r="A169" i="6"/>
  <c r="A170" i="6"/>
  <c r="A171" i="6"/>
  <c r="A172" i="6"/>
  <c r="A173" i="6"/>
  <c r="A174" i="6"/>
  <c r="A175" i="6"/>
  <c r="A176" i="6"/>
  <c r="A177" i="6"/>
  <c r="A178" i="6"/>
  <c r="A179" i="6"/>
  <c r="A180" i="6"/>
  <c r="A181" i="6"/>
  <c r="A182" i="6"/>
  <c r="A183" i="6"/>
  <c r="A184" i="6"/>
  <c r="A185" i="6"/>
  <c r="A186" i="6"/>
  <c r="A187" i="6"/>
  <c r="A188" i="6"/>
  <c r="A189" i="6"/>
  <c r="A190" i="6"/>
  <c r="A191" i="6"/>
  <c r="A192" i="6"/>
  <c r="A193" i="6"/>
  <c r="A194" i="6"/>
  <c r="A195" i="6"/>
  <c r="A196" i="6"/>
  <c r="A197" i="6"/>
  <c r="A198" i="6"/>
  <c r="A199" i="6"/>
  <c r="A200" i="6"/>
  <c r="A201" i="6"/>
  <c r="A202" i="6"/>
  <c r="A203" i="6"/>
  <c r="A204" i="6"/>
  <c r="A205" i="6"/>
  <c r="A206" i="6"/>
  <c r="A207" i="6"/>
  <c r="A208" i="6"/>
  <c r="A209" i="6"/>
  <c r="A210" i="6"/>
  <c r="A211" i="6"/>
  <c r="A212" i="6"/>
  <c r="A213" i="6"/>
  <c r="A214" i="6"/>
  <c r="A215" i="6"/>
  <c r="A216" i="6"/>
  <c r="A217" i="6"/>
  <c r="A218" i="6"/>
  <c r="A219" i="6"/>
  <c r="A220" i="6"/>
  <c r="A221" i="6"/>
  <c r="A222" i="6"/>
  <c r="A223" i="6"/>
  <c r="A224" i="6"/>
  <c r="A225" i="6"/>
  <c r="A226" i="6"/>
  <c r="A227" i="6"/>
  <c r="A228" i="6"/>
  <c r="A229" i="6"/>
  <c r="A230" i="6"/>
  <c r="A231" i="6"/>
  <c r="A232" i="6"/>
  <c r="A233" i="6"/>
  <c r="A234" i="6"/>
  <c r="A235" i="6"/>
  <c r="A236" i="6"/>
  <c r="A237" i="6"/>
  <c r="A238" i="6"/>
  <c r="A239" i="6"/>
  <c r="A240" i="6"/>
  <c r="A241" i="6"/>
  <c r="A242" i="6"/>
  <c r="A243" i="6"/>
  <c r="A244" i="6"/>
  <c r="A2" i="6"/>
  <c r="Q3" i="6"/>
  <c r="Q4" i="6"/>
  <c r="Q5" i="6"/>
  <c r="Q6" i="6"/>
  <c r="Q7" i="6"/>
  <c r="Q8" i="6"/>
  <c r="Q9" i="6"/>
  <c r="Q10" i="6"/>
  <c r="Q11" i="6"/>
  <c r="Q12" i="6"/>
  <c r="Q13" i="6"/>
  <c r="Q14" i="6"/>
  <c r="Q15" i="6"/>
  <c r="Q16" i="6"/>
  <c r="Q17" i="6"/>
  <c r="Q18" i="6"/>
  <c r="Q19" i="6"/>
  <c r="Q20" i="6"/>
  <c r="Q21" i="6"/>
  <c r="Q22" i="6"/>
  <c r="Q23" i="6"/>
  <c r="Q24" i="6"/>
  <c r="Q25" i="6"/>
  <c r="Q26" i="6"/>
  <c r="Q27" i="6"/>
  <c r="Q28" i="6"/>
  <c r="Q29" i="6"/>
  <c r="Q30" i="6"/>
  <c r="Q31" i="6"/>
  <c r="Q32" i="6"/>
  <c r="Q33" i="6"/>
  <c r="Q34" i="6"/>
  <c r="Q35" i="6"/>
  <c r="Q36" i="6"/>
  <c r="Q37" i="6"/>
  <c r="Q38" i="6"/>
  <c r="Q39" i="6"/>
  <c r="Q40" i="6"/>
  <c r="Q41" i="6"/>
  <c r="Q42" i="6"/>
  <c r="Q43" i="6"/>
  <c r="Q44" i="6"/>
  <c r="Q45" i="6"/>
  <c r="Q46" i="6"/>
  <c r="Q47" i="6"/>
  <c r="Q48" i="6"/>
  <c r="Q49" i="6"/>
  <c r="Q50" i="6"/>
  <c r="Q51" i="6"/>
  <c r="Q52" i="6"/>
  <c r="Q53" i="6"/>
  <c r="Q54" i="6"/>
  <c r="Q55" i="6"/>
  <c r="Q56" i="6"/>
  <c r="Q57" i="6"/>
  <c r="Q58" i="6"/>
  <c r="Q59" i="6"/>
  <c r="Q60" i="6"/>
  <c r="Q61" i="6"/>
  <c r="Q62" i="6"/>
  <c r="Q63" i="6"/>
  <c r="Q64" i="6"/>
  <c r="Q65" i="6"/>
  <c r="Q66" i="6"/>
  <c r="Q67" i="6"/>
  <c r="Q68" i="6"/>
  <c r="Q69" i="6"/>
  <c r="Q70" i="6"/>
  <c r="Q71" i="6"/>
  <c r="Q72" i="6"/>
  <c r="Q73" i="6"/>
  <c r="Q74" i="6"/>
  <c r="Q75" i="6"/>
  <c r="Q76" i="6"/>
  <c r="Q77" i="6"/>
  <c r="Q78" i="6"/>
  <c r="Q79" i="6"/>
  <c r="Q80" i="6"/>
  <c r="Q81" i="6"/>
  <c r="Q82" i="6"/>
  <c r="Q83" i="6"/>
  <c r="Q84" i="6"/>
  <c r="Q85" i="6"/>
  <c r="Q86" i="6"/>
  <c r="Q87" i="6"/>
  <c r="Q88" i="6"/>
  <c r="Q89" i="6"/>
  <c r="Q90" i="6"/>
  <c r="Q91" i="6"/>
  <c r="Q92" i="6"/>
  <c r="Q93" i="6"/>
  <c r="Q94" i="6"/>
  <c r="Q95" i="6"/>
  <c r="Q96" i="6"/>
  <c r="Q97" i="6"/>
  <c r="Q98" i="6"/>
  <c r="Q99" i="6"/>
  <c r="Q100" i="6"/>
  <c r="Q101" i="6"/>
  <c r="Q102" i="6"/>
  <c r="Q103" i="6"/>
  <c r="Q104" i="6"/>
  <c r="Q105" i="6"/>
  <c r="Q106" i="6"/>
  <c r="Q107" i="6"/>
  <c r="Q108" i="6"/>
  <c r="Q109" i="6"/>
  <c r="Q110" i="6"/>
  <c r="Q111" i="6"/>
  <c r="Q112" i="6"/>
  <c r="Q113" i="6"/>
  <c r="Q114" i="6"/>
  <c r="Q115" i="6"/>
  <c r="Q116" i="6"/>
  <c r="Q117" i="6"/>
  <c r="Q118" i="6"/>
  <c r="Q119" i="6"/>
  <c r="Q120" i="6"/>
  <c r="Q121" i="6"/>
  <c r="Q122" i="6"/>
  <c r="Q123" i="6"/>
  <c r="Q124" i="6"/>
  <c r="Q125" i="6"/>
  <c r="Q126" i="6"/>
  <c r="Q127" i="6"/>
  <c r="Q128" i="6"/>
  <c r="Q129" i="6"/>
  <c r="Q130" i="6"/>
  <c r="Q131" i="6"/>
  <c r="Q132" i="6"/>
  <c r="Q133" i="6"/>
  <c r="Q134" i="6"/>
  <c r="Q135" i="6"/>
  <c r="Q136" i="6"/>
  <c r="Q137" i="6"/>
  <c r="Q138" i="6"/>
  <c r="Q139" i="6"/>
  <c r="Q140" i="6"/>
  <c r="Q141" i="6"/>
  <c r="Q142" i="6"/>
  <c r="Q143" i="6"/>
  <c r="Q144" i="6"/>
  <c r="Q145" i="6"/>
  <c r="Q146" i="6"/>
  <c r="Q147" i="6"/>
  <c r="Q148" i="6"/>
  <c r="Q149" i="6"/>
  <c r="Q150" i="6"/>
  <c r="Q151" i="6"/>
  <c r="Q152" i="6"/>
  <c r="Q153" i="6"/>
  <c r="Q154" i="6"/>
  <c r="Q155" i="6"/>
  <c r="Q156" i="6"/>
  <c r="Q157" i="6"/>
  <c r="Q158" i="6"/>
  <c r="Q159" i="6"/>
  <c r="Q160" i="6"/>
  <c r="Q161" i="6"/>
  <c r="Q162" i="6"/>
  <c r="Q163" i="6"/>
  <c r="Q164" i="6"/>
  <c r="Q165" i="6"/>
  <c r="Q166" i="6"/>
  <c r="Q167" i="6"/>
  <c r="Q168" i="6"/>
  <c r="Q169" i="6"/>
  <c r="Q170" i="6"/>
  <c r="Q171" i="6"/>
  <c r="Q172" i="6"/>
  <c r="Q173" i="6"/>
  <c r="Q174" i="6"/>
  <c r="Q175" i="6"/>
  <c r="Q176" i="6"/>
  <c r="Q177" i="6"/>
  <c r="Q178" i="6"/>
  <c r="Q179" i="6"/>
  <c r="Q180" i="6"/>
  <c r="Q181" i="6"/>
  <c r="Q182" i="6"/>
  <c r="Q183" i="6"/>
  <c r="Q184" i="6"/>
  <c r="Q185" i="6"/>
  <c r="Q186" i="6"/>
  <c r="Q187" i="6"/>
  <c r="Q188" i="6"/>
  <c r="Q189" i="6"/>
  <c r="Q190" i="6"/>
  <c r="Q191" i="6"/>
  <c r="Q192" i="6"/>
  <c r="Q193" i="6"/>
  <c r="Q194" i="6"/>
  <c r="Q195" i="6"/>
  <c r="Q196" i="6"/>
  <c r="Q197" i="6"/>
  <c r="Q198" i="6"/>
  <c r="Q199" i="6"/>
  <c r="Q200" i="6"/>
  <c r="Q201" i="6"/>
  <c r="Q202" i="6"/>
  <c r="Q203" i="6"/>
  <c r="Q204" i="6"/>
  <c r="Q205" i="6"/>
  <c r="Q206" i="6"/>
  <c r="Q207" i="6"/>
  <c r="Q208" i="6"/>
  <c r="Q209" i="6"/>
  <c r="Q210" i="6"/>
  <c r="Q211" i="6"/>
  <c r="Q212" i="6"/>
  <c r="Q213" i="6"/>
  <c r="Q214" i="6"/>
  <c r="Q215" i="6"/>
  <c r="Q216" i="6"/>
  <c r="Q217" i="6"/>
  <c r="Q218" i="6"/>
  <c r="Q219" i="6"/>
  <c r="Q220" i="6"/>
  <c r="Q221" i="6"/>
  <c r="Q222" i="6"/>
  <c r="Q223" i="6"/>
  <c r="Q224" i="6"/>
  <c r="Q225" i="6"/>
  <c r="Q226" i="6"/>
  <c r="Q227" i="6"/>
  <c r="Q228" i="6"/>
  <c r="Q229" i="6"/>
  <c r="Q230" i="6"/>
  <c r="Q231" i="6"/>
  <c r="Q232" i="6"/>
  <c r="Q233" i="6"/>
  <c r="Q234" i="6"/>
  <c r="Q235" i="6"/>
  <c r="Q236" i="6"/>
  <c r="Q237" i="6"/>
  <c r="Q238" i="6"/>
  <c r="Q239" i="6"/>
  <c r="Q240" i="6"/>
  <c r="Q241" i="6"/>
  <c r="Q242" i="6"/>
  <c r="Q243" i="6"/>
  <c r="Q244" i="6"/>
  <c r="Q2" i="6"/>
  <c r="K22" i="19" l="1"/>
  <c r="M25" i="19"/>
  <c r="K25" i="19"/>
  <c r="M23" i="19"/>
  <c r="K24" i="19"/>
  <c r="M24" i="19"/>
  <c r="K23" i="19"/>
  <c r="M22" i="19"/>
  <c r="M2" i="6"/>
  <c r="H25" i="19"/>
  <c r="G25" i="19"/>
  <c r="E25" i="19"/>
  <c r="H24" i="19"/>
  <c r="G24" i="19"/>
  <c r="E24" i="19"/>
  <c r="G22" i="19"/>
  <c r="E22" i="19"/>
  <c r="H23" i="19"/>
  <c r="G23" i="19"/>
  <c r="E23" i="19"/>
  <c r="B61" i="18"/>
  <c r="B37" i="18"/>
  <c r="B33" i="16"/>
  <c r="B30" i="16"/>
  <c r="B38" i="14"/>
  <c r="B29" i="14"/>
  <c r="I14" i="3"/>
  <c r="I13" i="3"/>
  <c r="E7" i="3"/>
  <c r="E5" i="3"/>
  <c r="E3" i="3"/>
  <c r="G6" i="2"/>
  <c r="G3" i="2"/>
  <c r="P244" i="6"/>
  <c r="M244" i="6"/>
  <c r="J244" i="6"/>
  <c r="O244" i="6" s="1"/>
  <c r="I244" i="6"/>
  <c r="G244" i="6"/>
  <c r="F244" i="6"/>
  <c r="E244" i="6"/>
  <c r="P243" i="6"/>
  <c r="M243" i="6"/>
  <c r="J243" i="6"/>
  <c r="O243" i="6" s="1"/>
  <c r="I243" i="6"/>
  <c r="G243" i="6"/>
  <c r="F243" i="6"/>
  <c r="E243" i="6"/>
  <c r="P242" i="6"/>
  <c r="M242" i="6"/>
  <c r="J242" i="6"/>
  <c r="O242" i="6" s="1"/>
  <c r="I242" i="6"/>
  <c r="G242" i="6"/>
  <c r="F242" i="6"/>
  <c r="E242" i="6"/>
  <c r="P241" i="6"/>
  <c r="M241" i="6"/>
  <c r="J241" i="6"/>
  <c r="O241" i="6" s="1"/>
  <c r="I241" i="6"/>
  <c r="G241" i="6"/>
  <c r="F241" i="6"/>
  <c r="E241" i="6"/>
  <c r="P240" i="6"/>
  <c r="M240" i="6"/>
  <c r="J240" i="6"/>
  <c r="O240" i="6" s="1"/>
  <c r="I240" i="6"/>
  <c r="G240" i="6"/>
  <c r="F240" i="6"/>
  <c r="E240" i="6"/>
  <c r="P239" i="6"/>
  <c r="M239" i="6"/>
  <c r="J239" i="6"/>
  <c r="O239" i="6" s="1"/>
  <c r="I239" i="6"/>
  <c r="G239" i="6"/>
  <c r="F239" i="6"/>
  <c r="E239" i="6"/>
  <c r="P238" i="6"/>
  <c r="M238" i="6"/>
  <c r="J238" i="6"/>
  <c r="O238" i="6" s="1"/>
  <c r="I238" i="6"/>
  <c r="G238" i="6"/>
  <c r="F238" i="6"/>
  <c r="E238" i="6"/>
  <c r="P237" i="6"/>
  <c r="M237" i="6"/>
  <c r="J237" i="6"/>
  <c r="N237" i="6" s="1"/>
  <c r="I237" i="6"/>
  <c r="G237" i="6"/>
  <c r="F237" i="6"/>
  <c r="E237" i="6"/>
  <c r="P236" i="6"/>
  <c r="M236" i="6"/>
  <c r="J236" i="6"/>
  <c r="O236" i="6" s="1"/>
  <c r="I236" i="6"/>
  <c r="G236" i="6"/>
  <c r="F236" i="6"/>
  <c r="E236" i="6"/>
  <c r="P235" i="6"/>
  <c r="M235" i="6"/>
  <c r="J235" i="6"/>
  <c r="O235" i="6" s="1"/>
  <c r="I235" i="6"/>
  <c r="G235" i="6"/>
  <c r="F235" i="6"/>
  <c r="E235" i="6"/>
  <c r="P234" i="6"/>
  <c r="M234" i="6"/>
  <c r="J234" i="6"/>
  <c r="O234" i="6" s="1"/>
  <c r="I234" i="6"/>
  <c r="G234" i="6"/>
  <c r="F234" i="6"/>
  <c r="E234" i="6"/>
  <c r="P233" i="6"/>
  <c r="M233" i="6"/>
  <c r="J233" i="6"/>
  <c r="O233" i="6" s="1"/>
  <c r="I233" i="6"/>
  <c r="G233" i="6"/>
  <c r="F233" i="6"/>
  <c r="E233" i="6"/>
  <c r="P232" i="6"/>
  <c r="M232" i="6"/>
  <c r="J232" i="6"/>
  <c r="O232" i="6" s="1"/>
  <c r="I232" i="6"/>
  <c r="G232" i="6"/>
  <c r="F232" i="6"/>
  <c r="E232" i="6"/>
  <c r="P231" i="6"/>
  <c r="M231" i="6"/>
  <c r="J231" i="6"/>
  <c r="O231" i="6" s="1"/>
  <c r="I231" i="6"/>
  <c r="G231" i="6"/>
  <c r="F231" i="6"/>
  <c r="E231" i="6"/>
  <c r="P230" i="6"/>
  <c r="M230" i="6"/>
  <c r="J230" i="6"/>
  <c r="O230" i="6" s="1"/>
  <c r="I230" i="6"/>
  <c r="G230" i="6"/>
  <c r="F230" i="6"/>
  <c r="E230" i="6"/>
  <c r="P229" i="6"/>
  <c r="M229" i="6"/>
  <c r="J229" i="6"/>
  <c r="N229" i="6" s="1"/>
  <c r="I229" i="6"/>
  <c r="G229" i="6"/>
  <c r="F229" i="6"/>
  <c r="E229" i="6"/>
  <c r="P228" i="6"/>
  <c r="M228" i="6"/>
  <c r="J228" i="6"/>
  <c r="O228" i="6" s="1"/>
  <c r="I228" i="6"/>
  <c r="G228" i="6"/>
  <c r="F228" i="6"/>
  <c r="E228" i="6"/>
  <c r="P227" i="6"/>
  <c r="M227" i="6"/>
  <c r="J227" i="6"/>
  <c r="O227" i="6" s="1"/>
  <c r="I227" i="6"/>
  <c r="G227" i="6"/>
  <c r="F227" i="6"/>
  <c r="E227" i="6"/>
  <c r="P226" i="6"/>
  <c r="M226" i="6"/>
  <c r="J226" i="6"/>
  <c r="O226" i="6" s="1"/>
  <c r="I226" i="6"/>
  <c r="G226" i="6"/>
  <c r="F226" i="6"/>
  <c r="E226" i="6"/>
  <c r="P225" i="6"/>
  <c r="M225" i="6"/>
  <c r="J225" i="6"/>
  <c r="O225" i="6" s="1"/>
  <c r="I225" i="6"/>
  <c r="G225" i="6"/>
  <c r="F225" i="6"/>
  <c r="E225" i="6"/>
  <c r="P224" i="6"/>
  <c r="M224" i="6"/>
  <c r="J224" i="6"/>
  <c r="O224" i="6" s="1"/>
  <c r="I224" i="6"/>
  <c r="G224" i="6"/>
  <c r="F224" i="6"/>
  <c r="E224" i="6"/>
  <c r="P223" i="6"/>
  <c r="M223" i="6"/>
  <c r="J223" i="6"/>
  <c r="O223" i="6" s="1"/>
  <c r="I223" i="6"/>
  <c r="G223" i="6"/>
  <c r="F223" i="6"/>
  <c r="E223" i="6"/>
  <c r="P222" i="6"/>
  <c r="M222" i="6"/>
  <c r="J222" i="6"/>
  <c r="O222" i="6" s="1"/>
  <c r="I222" i="6"/>
  <c r="G222" i="6"/>
  <c r="F222" i="6"/>
  <c r="E222" i="6"/>
  <c r="P221" i="6"/>
  <c r="M221" i="6"/>
  <c r="J221" i="6"/>
  <c r="N221" i="6" s="1"/>
  <c r="I221" i="6"/>
  <c r="G221" i="6"/>
  <c r="F221" i="6"/>
  <c r="E221" i="6"/>
  <c r="P220" i="6"/>
  <c r="M220" i="6"/>
  <c r="J220" i="6"/>
  <c r="N220" i="6" s="1"/>
  <c r="I220" i="6"/>
  <c r="G220" i="6"/>
  <c r="F220" i="6"/>
  <c r="E220" i="6"/>
  <c r="P219" i="6"/>
  <c r="M219" i="6"/>
  <c r="J219" i="6"/>
  <c r="O219" i="6" s="1"/>
  <c r="I219" i="6"/>
  <c r="G219" i="6"/>
  <c r="F219" i="6"/>
  <c r="E219" i="6"/>
  <c r="P218" i="6"/>
  <c r="M218" i="6"/>
  <c r="J218" i="6"/>
  <c r="O218" i="6" s="1"/>
  <c r="I218" i="6"/>
  <c r="G218" i="6"/>
  <c r="F218" i="6"/>
  <c r="E218" i="6"/>
  <c r="P217" i="6"/>
  <c r="M217" i="6"/>
  <c r="J217" i="6"/>
  <c r="O217" i="6" s="1"/>
  <c r="I217" i="6"/>
  <c r="G217" i="6"/>
  <c r="F217" i="6"/>
  <c r="E217" i="6"/>
  <c r="P216" i="6"/>
  <c r="M216" i="6"/>
  <c r="J216" i="6"/>
  <c r="O216" i="6" s="1"/>
  <c r="I216" i="6"/>
  <c r="G216" i="6"/>
  <c r="F216" i="6"/>
  <c r="E216" i="6"/>
  <c r="P215" i="6"/>
  <c r="M215" i="6"/>
  <c r="J215" i="6"/>
  <c r="O215" i="6" s="1"/>
  <c r="I215" i="6"/>
  <c r="G215" i="6"/>
  <c r="F215" i="6"/>
  <c r="E215" i="6"/>
  <c r="P214" i="6"/>
  <c r="M214" i="6"/>
  <c r="J214" i="6"/>
  <c r="O214" i="6" s="1"/>
  <c r="I214" i="6"/>
  <c r="G214" i="6"/>
  <c r="F214" i="6"/>
  <c r="E214" i="6"/>
  <c r="P213" i="6"/>
  <c r="M213" i="6"/>
  <c r="J213" i="6"/>
  <c r="N213" i="6" s="1"/>
  <c r="I213" i="6"/>
  <c r="G213" i="6"/>
  <c r="F213" i="6"/>
  <c r="E213" i="6"/>
  <c r="P212" i="6"/>
  <c r="M212" i="6"/>
  <c r="J212" i="6"/>
  <c r="N212" i="6" s="1"/>
  <c r="I212" i="6"/>
  <c r="G212" i="6"/>
  <c r="F212" i="6"/>
  <c r="E212" i="6"/>
  <c r="P211" i="6"/>
  <c r="M211" i="6"/>
  <c r="J211" i="6"/>
  <c r="O211" i="6" s="1"/>
  <c r="I211" i="6"/>
  <c r="G211" i="6"/>
  <c r="F211" i="6"/>
  <c r="E211" i="6"/>
  <c r="P210" i="6"/>
  <c r="M210" i="6"/>
  <c r="J210" i="6"/>
  <c r="O210" i="6" s="1"/>
  <c r="I210" i="6"/>
  <c r="G210" i="6"/>
  <c r="F210" i="6"/>
  <c r="E210" i="6"/>
  <c r="P209" i="6"/>
  <c r="M209" i="6"/>
  <c r="J209" i="6"/>
  <c r="O209" i="6" s="1"/>
  <c r="I209" i="6"/>
  <c r="G209" i="6"/>
  <c r="F209" i="6"/>
  <c r="E209" i="6"/>
  <c r="P208" i="6"/>
  <c r="M208" i="6"/>
  <c r="J208" i="6"/>
  <c r="O208" i="6" s="1"/>
  <c r="I208" i="6"/>
  <c r="G208" i="6"/>
  <c r="F208" i="6"/>
  <c r="E208" i="6"/>
  <c r="P207" i="6"/>
  <c r="M207" i="6"/>
  <c r="J207" i="6"/>
  <c r="O207" i="6" s="1"/>
  <c r="I207" i="6"/>
  <c r="G207" i="6"/>
  <c r="F207" i="6"/>
  <c r="E207" i="6"/>
  <c r="P206" i="6"/>
  <c r="M206" i="6"/>
  <c r="J206" i="6"/>
  <c r="O206" i="6" s="1"/>
  <c r="I206" i="6"/>
  <c r="G206" i="6"/>
  <c r="F206" i="6"/>
  <c r="E206" i="6"/>
  <c r="P205" i="6"/>
  <c r="M205" i="6"/>
  <c r="J205" i="6"/>
  <c r="N205" i="6" s="1"/>
  <c r="I205" i="6"/>
  <c r="G205" i="6"/>
  <c r="F205" i="6"/>
  <c r="E205" i="6"/>
  <c r="P204" i="6"/>
  <c r="M204" i="6"/>
  <c r="J204" i="6"/>
  <c r="O204" i="6" s="1"/>
  <c r="I204" i="6"/>
  <c r="G204" i="6"/>
  <c r="F204" i="6"/>
  <c r="E204" i="6"/>
  <c r="P203" i="6"/>
  <c r="M203" i="6"/>
  <c r="J203" i="6"/>
  <c r="O203" i="6" s="1"/>
  <c r="I203" i="6"/>
  <c r="G203" i="6"/>
  <c r="F203" i="6"/>
  <c r="E203" i="6"/>
  <c r="P202" i="6"/>
  <c r="M202" i="6"/>
  <c r="J202" i="6"/>
  <c r="O202" i="6" s="1"/>
  <c r="I202" i="6"/>
  <c r="G202" i="6"/>
  <c r="F202" i="6"/>
  <c r="E202" i="6"/>
  <c r="P201" i="6"/>
  <c r="M201" i="6"/>
  <c r="J201" i="6"/>
  <c r="O201" i="6" s="1"/>
  <c r="I201" i="6"/>
  <c r="G201" i="6"/>
  <c r="F201" i="6"/>
  <c r="E201" i="6"/>
  <c r="P200" i="6"/>
  <c r="M200" i="6"/>
  <c r="J200" i="6"/>
  <c r="O200" i="6" s="1"/>
  <c r="I200" i="6"/>
  <c r="G200" i="6"/>
  <c r="F200" i="6"/>
  <c r="E200" i="6"/>
  <c r="P199" i="6"/>
  <c r="M199" i="6"/>
  <c r="J199" i="6"/>
  <c r="O199" i="6" s="1"/>
  <c r="I199" i="6"/>
  <c r="G199" i="6"/>
  <c r="F199" i="6"/>
  <c r="E199" i="6"/>
  <c r="P198" i="6"/>
  <c r="M198" i="6"/>
  <c r="J198" i="6"/>
  <c r="O198" i="6" s="1"/>
  <c r="I198" i="6"/>
  <c r="G198" i="6"/>
  <c r="F198" i="6"/>
  <c r="E198" i="6"/>
  <c r="P197" i="6"/>
  <c r="M197" i="6"/>
  <c r="J197" i="6"/>
  <c r="N197" i="6" s="1"/>
  <c r="I197" i="6"/>
  <c r="G197" i="6"/>
  <c r="F197" i="6"/>
  <c r="E197" i="6"/>
  <c r="P196" i="6"/>
  <c r="M196" i="6"/>
  <c r="J196" i="6"/>
  <c r="O196" i="6" s="1"/>
  <c r="I196" i="6"/>
  <c r="G196" i="6"/>
  <c r="F196" i="6"/>
  <c r="E196" i="6"/>
  <c r="P195" i="6"/>
  <c r="M195" i="6"/>
  <c r="J195" i="6"/>
  <c r="O195" i="6" s="1"/>
  <c r="I195" i="6"/>
  <c r="G195" i="6"/>
  <c r="F195" i="6"/>
  <c r="E195" i="6"/>
  <c r="P194" i="6"/>
  <c r="M194" i="6"/>
  <c r="J194" i="6"/>
  <c r="O194" i="6" s="1"/>
  <c r="I194" i="6"/>
  <c r="G194" i="6"/>
  <c r="F194" i="6"/>
  <c r="E194" i="6"/>
  <c r="P193" i="6"/>
  <c r="M193" i="6"/>
  <c r="J193" i="6"/>
  <c r="O193" i="6" s="1"/>
  <c r="I193" i="6"/>
  <c r="G193" i="6"/>
  <c r="F193" i="6"/>
  <c r="E193" i="6"/>
  <c r="P192" i="6"/>
  <c r="M192" i="6"/>
  <c r="J192" i="6"/>
  <c r="O192" i="6" s="1"/>
  <c r="I192" i="6"/>
  <c r="G192" i="6"/>
  <c r="F192" i="6"/>
  <c r="E192" i="6"/>
  <c r="P191" i="6"/>
  <c r="M191" i="6"/>
  <c r="J191" i="6"/>
  <c r="O191" i="6" s="1"/>
  <c r="I191" i="6"/>
  <c r="G191" i="6"/>
  <c r="F191" i="6"/>
  <c r="E191" i="6"/>
  <c r="P190" i="6"/>
  <c r="M190" i="6"/>
  <c r="J190" i="6"/>
  <c r="O190" i="6" s="1"/>
  <c r="I190" i="6"/>
  <c r="G190" i="6"/>
  <c r="F190" i="6"/>
  <c r="E190" i="6"/>
  <c r="P189" i="6"/>
  <c r="M189" i="6"/>
  <c r="J189" i="6"/>
  <c r="N189" i="6" s="1"/>
  <c r="I189" i="6"/>
  <c r="G189" i="6"/>
  <c r="F189" i="6"/>
  <c r="E189" i="6"/>
  <c r="P188" i="6"/>
  <c r="M188" i="6"/>
  <c r="J188" i="6"/>
  <c r="O188" i="6" s="1"/>
  <c r="I188" i="6"/>
  <c r="G188" i="6"/>
  <c r="F188" i="6"/>
  <c r="E188" i="6"/>
  <c r="P187" i="6"/>
  <c r="M187" i="6"/>
  <c r="J187" i="6"/>
  <c r="O187" i="6" s="1"/>
  <c r="I187" i="6"/>
  <c r="G187" i="6"/>
  <c r="F187" i="6"/>
  <c r="E187" i="6"/>
  <c r="P186" i="6"/>
  <c r="M186" i="6"/>
  <c r="J186" i="6"/>
  <c r="O186" i="6" s="1"/>
  <c r="I186" i="6"/>
  <c r="G186" i="6"/>
  <c r="F186" i="6"/>
  <c r="E186" i="6"/>
  <c r="P185" i="6"/>
  <c r="M185" i="6"/>
  <c r="J185" i="6"/>
  <c r="O185" i="6" s="1"/>
  <c r="I185" i="6"/>
  <c r="G185" i="6"/>
  <c r="F185" i="6"/>
  <c r="E185" i="6"/>
  <c r="P184" i="6"/>
  <c r="M184" i="6"/>
  <c r="J184" i="6"/>
  <c r="O184" i="6" s="1"/>
  <c r="I184" i="6"/>
  <c r="G184" i="6"/>
  <c r="F184" i="6"/>
  <c r="E184" i="6"/>
  <c r="P183" i="6"/>
  <c r="M183" i="6"/>
  <c r="J183" i="6"/>
  <c r="O183" i="6" s="1"/>
  <c r="I183" i="6"/>
  <c r="G183" i="6"/>
  <c r="F183" i="6"/>
  <c r="E183" i="6"/>
  <c r="P182" i="6"/>
  <c r="M182" i="6"/>
  <c r="J182" i="6"/>
  <c r="O182" i="6" s="1"/>
  <c r="I182" i="6"/>
  <c r="G182" i="6"/>
  <c r="F182" i="6"/>
  <c r="E182" i="6"/>
  <c r="P181" i="6"/>
  <c r="M181" i="6"/>
  <c r="J181" i="6"/>
  <c r="N181" i="6" s="1"/>
  <c r="I181" i="6"/>
  <c r="G181" i="6"/>
  <c r="F181" i="6"/>
  <c r="E181" i="6"/>
  <c r="P180" i="6"/>
  <c r="M180" i="6"/>
  <c r="J180" i="6"/>
  <c r="O180" i="6" s="1"/>
  <c r="I180" i="6"/>
  <c r="G180" i="6"/>
  <c r="F180" i="6"/>
  <c r="E180" i="6"/>
  <c r="P179" i="6"/>
  <c r="M179" i="6"/>
  <c r="J179" i="6"/>
  <c r="O179" i="6" s="1"/>
  <c r="I179" i="6"/>
  <c r="G179" i="6"/>
  <c r="F179" i="6"/>
  <c r="E179" i="6"/>
  <c r="P178" i="6"/>
  <c r="M178" i="6"/>
  <c r="J178" i="6"/>
  <c r="O178" i="6" s="1"/>
  <c r="I178" i="6"/>
  <c r="G178" i="6"/>
  <c r="F178" i="6"/>
  <c r="E178" i="6"/>
  <c r="P177" i="6"/>
  <c r="M177" i="6"/>
  <c r="J177" i="6"/>
  <c r="O177" i="6" s="1"/>
  <c r="I177" i="6"/>
  <c r="G177" i="6"/>
  <c r="F177" i="6"/>
  <c r="E177" i="6"/>
  <c r="P176" i="6"/>
  <c r="M176" i="6"/>
  <c r="J176" i="6"/>
  <c r="O176" i="6" s="1"/>
  <c r="I176" i="6"/>
  <c r="G176" i="6"/>
  <c r="F176" i="6"/>
  <c r="E176" i="6"/>
  <c r="P175" i="6"/>
  <c r="M175" i="6"/>
  <c r="J175" i="6"/>
  <c r="O175" i="6" s="1"/>
  <c r="I175" i="6"/>
  <c r="G175" i="6"/>
  <c r="F175" i="6"/>
  <c r="E175" i="6"/>
  <c r="P174" i="6"/>
  <c r="M174" i="6"/>
  <c r="J174" i="6"/>
  <c r="O174" i="6" s="1"/>
  <c r="I174" i="6"/>
  <c r="G174" i="6"/>
  <c r="F174" i="6"/>
  <c r="E174" i="6"/>
  <c r="P173" i="6"/>
  <c r="M173" i="6"/>
  <c r="J173" i="6"/>
  <c r="N173" i="6" s="1"/>
  <c r="I173" i="6"/>
  <c r="G173" i="6"/>
  <c r="F173" i="6"/>
  <c r="E173" i="6"/>
  <c r="P172" i="6"/>
  <c r="M172" i="6"/>
  <c r="J172" i="6"/>
  <c r="O172" i="6" s="1"/>
  <c r="I172" i="6"/>
  <c r="G172" i="6"/>
  <c r="F172" i="6"/>
  <c r="E172" i="6"/>
  <c r="P171" i="6"/>
  <c r="M171" i="6"/>
  <c r="J171" i="6"/>
  <c r="O171" i="6" s="1"/>
  <c r="I171" i="6"/>
  <c r="G171" i="6"/>
  <c r="F171" i="6"/>
  <c r="E171" i="6"/>
  <c r="P170" i="6"/>
  <c r="M170" i="6"/>
  <c r="J170" i="6"/>
  <c r="O170" i="6" s="1"/>
  <c r="I170" i="6"/>
  <c r="G170" i="6"/>
  <c r="F170" i="6"/>
  <c r="E170" i="6"/>
  <c r="P169" i="6"/>
  <c r="M169" i="6"/>
  <c r="J169" i="6"/>
  <c r="O169" i="6" s="1"/>
  <c r="I169" i="6"/>
  <c r="G169" i="6"/>
  <c r="F169" i="6"/>
  <c r="E169" i="6"/>
  <c r="P168" i="6"/>
  <c r="M168" i="6"/>
  <c r="J168" i="6"/>
  <c r="O168" i="6" s="1"/>
  <c r="I168" i="6"/>
  <c r="G168" i="6"/>
  <c r="F168" i="6"/>
  <c r="E168" i="6"/>
  <c r="P167" i="6"/>
  <c r="M167" i="6"/>
  <c r="J167" i="6"/>
  <c r="O167" i="6" s="1"/>
  <c r="I167" i="6"/>
  <c r="G167" i="6"/>
  <c r="F167" i="6"/>
  <c r="E167" i="6"/>
  <c r="P166" i="6"/>
  <c r="M166" i="6"/>
  <c r="J166" i="6"/>
  <c r="O166" i="6" s="1"/>
  <c r="I166" i="6"/>
  <c r="G166" i="6"/>
  <c r="F166" i="6"/>
  <c r="E166" i="6"/>
  <c r="P165" i="6"/>
  <c r="M165" i="6"/>
  <c r="J165" i="6"/>
  <c r="N165" i="6" s="1"/>
  <c r="I165" i="6"/>
  <c r="G165" i="6"/>
  <c r="F165" i="6"/>
  <c r="E165" i="6"/>
  <c r="P164" i="6"/>
  <c r="M164" i="6"/>
  <c r="J164" i="6"/>
  <c r="O164" i="6" s="1"/>
  <c r="I164" i="6"/>
  <c r="G164" i="6"/>
  <c r="F164" i="6"/>
  <c r="E164" i="6"/>
  <c r="P163" i="6"/>
  <c r="M163" i="6"/>
  <c r="J163" i="6"/>
  <c r="O163" i="6" s="1"/>
  <c r="I163" i="6"/>
  <c r="G163" i="6"/>
  <c r="F163" i="6"/>
  <c r="E163" i="6"/>
  <c r="P162" i="6"/>
  <c r="M162" i="6"/>
  <c r="J162" i="6"/>
  <c r="O162" i="6" s="1"/>
  <c r="I162" i="6"/>
  <c r="G162" i="6"/>
  <c r="F162" i="6"/>
  <c r="E162" i="6"/>
  <c r="P161" i="6"/>
  <c r="M161" i="6"/>
  <c r="J161" i="6"/>
  <c r="O161" i="6" s="1"/>
  <c r="I161" i="6"/>
  <c r="G161" i="6"/>
  <c r="F161" i="6"/>
  <c r="E161" i="6"/>
  <c r="P160" i="6"/>
  <c r="M160" i="6"/>
  <c r="J160" i="6"/>
  <c r="O160" i="6" s="1"/>
  <c r="I160" i="6"/>
  <c r="G160" i="6"/>
  <c r="F160" i="6"/>
  <c r="E160" i="6"/>
  <c r="P159" i="6"/>
  <c r="M159" i="6"/>
  <c r="J159" i="6"/>
  <c r="O159" i="6" s="1"/>
  <c r="I159" i="6"/>
  <c r="G159" i="6"/>
  <c r="F159" i="6"/>
  <c r="E159" i="6"/>
  <c r="P158" i="6"/>
  <c r="M158" i="6"/>
  <c r="J158" i="6"/>
  <c r="O158" i="6" s="1"/>
  <c r="I158" i="6"/>
  <c r="G158" i="6"/>
  <c r="F158" i="6"/>
  <c r="E158" i="6"/>
  <c r="P157" i="6"/>
  <c r="M157" i="6"/>
  <c r="J157" i="6"/>
  <c r="N157" i="6" s="1"/>
  <c r="I157" i="6"/>
  <c r="G157" i="6"/>
  <c r="F157" i="6"/>
  <c r="E157" i="6"/>
  <c r="P156" i="6"/>
  <c r="M156" i="6"/>
  <c r="J156" i="6"/>
  <c r="O156" i="6" s="1"/>
  <c r="I156" i="6"/>
  <c r="G156" i="6"/>
  <c r="F156" i="6"/>
  <c r="E156" i="6"/>
  <c r="P155" i="6"/>
  <c r="M155" i="6"/>
  <c r="J155" i="6"/>
  <c r="O155" i="6" s="1"/>
  <c r="I155" i="6"/>
  <c r="G155" i="6"/>
  <c r="F155" i="6"/>
  <c r="E155" i="6"/>
  <c r="P154" i="6"/>
  <c r="M154" i="6"/>
  <c r="J154" i="6"/>
  <c r="O154" i="6" s="1"/>
  <c r="I154" i="6"/>
  <c r="G154" i="6"/>
  <c r="F154" i="6"/>
  <c r="E154" i="6"/>
  <c r="P153" i="6"/>
  <c r="M153" i="6"/>
  <c r="J153" i="6"/>
  <c r="O153" i="6" s="1"/>
  <c r="I153" i="6"/>
  <c r="G153" i="6"/>
  <c r="F153" i="6"/>
  <c r="E153" i="6"/>
  <c r="P152" i="6"/>
  <c r="M152" i="6"/>
  <c r="J152" i="6"/>
  <c r="O152" i="6" s="1"/>
  <c r="I152" i="6"/>
  <c r="G152" i="6"/>
  <c r="F152" i="6"/>
  <c r="E152" i="6"/>
  <c r="P151" i="6"/>
  <c r="M151" i="6"/>
  <c r="J151" i="6"/>
  <c r="O151" i="6" s="1"/>
  <c r="I151" i="6"/>
  <c r="G151" i="6"/>
  <c r="F151" i="6"/>
  <c r="E151" i="6"/>
  <c r="P150" i="6"/>
  <c r="M150" i="6"/>
  <c r="J150" i="6"/>
  <c r="O150" i="6" s="1"/>
  <c r="I150" i="6"/>
  <c r="G150" i="6"/>
  <c r="F150" i="6"/>
  <c r="E150" i="6"/>
  <c r="P149" i="6"/>
  <c r="M149" i="6"/>
  <c r="J149" i="6"/>
  <c r="N149" i="6" s="1"/>
  <c r="I149" i="6"/>
  <c r="G149" i="6"/>
  <c r="F149" i="6"/>
  <c r="E149" i="6"/>
  <c r="P148" i="6"/>
  <c r="M148" i="6"/>
  <c r="J148" i="6"/>
  <c r="O148" i="6" s="1"/>
  <c r="I148" i="6"/>
  <c r="G148" i="6"/>
  <c r="F148" i="6"/>
  <c r="E148" i="6"/>
  <c r="P147" i="6"/>
  <c r="M147" i="6"/>
  <c r="J147" i="6"/>
  <c r="O147" i="6" s="1"/>
  <c r="I147" i="6"/>
  <c r="G147" i="6"/>
  <c r="F147" i="6"/>
  <c r="E147" i="6"/>
  <c r="P146" i="6"/>
  <c r="M146" i="6"/>
  <c r="J146" i="6"/>
  <c r="O146" i="6" s="1"/>
  <c r="I146" i="6"/>
  <c r="G146" i="6"/>
  <c r="F146" i="6"/>
  <c r="E146" i="6"/>
  <c r="P145" i="6"/>
  <c r="M145" i="6"/>
  <c r="J145" i="6"/>
  <c r="O145" i="6" s="1"/>
  <c r="I145" i="6"/>
  <c r="G145" i="6"/>
  <c r="F145" i="6"/>
  <c r="E145" i="6"/>
  <c r="P144" i="6"/>
  <c r="M144" i="6"/>
  <c r="J144" i="6"/>
  <c r="O144" i="6" s="1"/>
  <c r="I144" i="6"/>
  <c r="G144" i="6"/>
  <c r="F144" i="6"/>
  <c r="E144" i="6"/>
  <c r="P143" i="6"/>
  <c r="M143" i="6"/>
  <c r="J143" i="6"/>
  <c r="O143" i="6" s="1"/>
  <c r="I143" i="6"/>
  <c r="G143" i="6"/>
  <c r="F143" i="6"/>
  <c r="E143" i="6"/>
  <c r="P142" i="6"/>
  <c r="M142" i="6"/>
  <c r="J142" i="6"/>
  <c r="O142" i="6" s="1"/>
  <c r="I142" i="6"/>
  <c r="G142" i="6"/>
  <c r="F142" i="6"/>
  <c r="E142" i="6"/>
  <c r="P141" i="6"/>
  <c r="M141" i="6"/>
  <c r="J141" i="6"/>
  <c r="N141" i="6" s="1"/>
  <c r="I141" i="6"/>
  <c r="G141" i="6"/>
  <c r="F141" i="6"/>
  <c r="E141" i="6"/>
  <c r="P140" i="6"/>
  <c r="M140" i="6"/>
  <c r="J140" i="6"/>
  <c r="O140" i="6" s="1"/>
  <c r="I140" i="6"/>
  <c r="G140" i="6"/>
  <c r="F140" i="6"/>
  <c r="E140" i="6"/>
  <c r="P139" i="6"/>
  <c r="M139" i="6"/>
  <c r="J139" i="6"/>
  <c r="O139" i="6" s="1"/>
  <c r="I139" i="6"/>
  <c r="G139" i="6"/>
  <c r="F139" i="6"/>
  <c r="E139" i="6"/>
  <c r="P138" i="6"/>
  <c r="M138" i="6"/>
  <c r="J138" i="6"/>
  <c r="O138" i="6" s="1"/>
  <c r="I138" i="6"/>
  <c r="G138" i="6"/>
  <c r="F138" i="6"/>
  <c r="E138" i="6"/>
  <c r="P137" i="6"/>
  <c r="M137" i="6"/>
  <c r="J137" i="6"/>
  <c r="O137" i="6" s="1"/>
  <c r="I137" i="6"/>
  <c r="G137" i="6"/>
  <c r="F137" i="6"/>
  <c r="E137" i="6"/>
  <c r="P136" i="6"/>
  <c r="M136" i="6"/>
  <c r="J136" i="6"/>
  <c r="O136" i="6" s="1"/>
  <c r="I136" i="6"/>
  <c r="G136" i="6"/>
  <c r="F136" i="6"/>
  <c r="E136" i="6"/>
  <c r="P135" i="6"/>
  <c r="M135" i="6"/>
  <c r="J135" i="6"/>
  <c r="O135" i="6" s="1"/>
  <c r="I135" i="6"/>
  <c r="G135" i="6"/>
  <c r="F135" i="6"/>
  <c r="E135" i="6"/>
  <c r="P134" i="6"/>
  <c r="M134" i="6"/>
  <c r="J134" i="6"/>
  <c r="O134" i="6" s="1"/>
  <c r="I134" i="6"/>
  <c r="G134" i="6"/>
  <c r="F134" i="6"/>
  <c r="E134" i="6"/>
  <c r="P133" i="6"/>
  <c r="M133" i="6"/>
  <c r="J133" i="6"/>
  <c r="N133" i="6" s="1"/>
  <c r="I133" i="6"/>
  <c r="G133" i="6"/>
  <c r="F133" i="6"/>
  <c r="E133" i="6"/>
  <c r="P132" i="6"/>
  <c r="M132" i="6"/>
  <c r="J132" i="6"/>
  <c r="O132" i="6" s="1"/>
  <c r="I132" i="6"/>
  <c r="G132" i="6"/>
  <c r="F132" i="6"/>
  <c r="E132" i="6"/>
  <c r="P131" i="6"/>
  <c r="M131" i="6"/>
  <c r="J131" i="6"/>
  <c r="O131" i="6" s="1"/>
  <c r="I131" i="6"/>
  <c r="G131" i="6"/>
  <c r="F131" i="6"/>
  <c r="E131" i="6"/>
  <c r="P130" i="6"/>
  <c r="M130" i="6"/>
  <c r="J130" i="6"/>
  <c r="O130" i="6" s="1"/>
  <c r="I130" i="6"/>
  <c r="G130" i="6"/>
  <c r="F130" i="6"/>
  <c r="E130" i="6"/>
  <c r="P129" i="6"/>
  <c r="M129" i="6"/>
  <c r="J129" i="6"/>
  <c r="O129" i="6" s="1"/>
  <c r="I129" i="6"/>
  <c r="G129" i="6"/>
  <c r="F129" i="6"/>
  <c r="E129" i="6"/>
  <c r="P128" i="6"/>
  <c r="M128" i="6"/>
  <c r="J128" i="6"/>
  <c r="O128" i="6" s="1"/>
  <c r="I128" i="6"/>
  <c r="G128" i="6"/>
  <c r="F128" i="6"/>
  <c r="E128" i="6"/>
  <c r="P127" i="6"/>
  <c r="M127" i="6"/>
  <c r="J127" i="6"/>
  <c r="O127" i="6" s="1"/>
  <c r="I127" i="6"/>
  <c r="G127" i="6"/>
  <c r="F127" i="6"/>
  <c r="E127" i="6"/>
  <c r="P126" i="6"/>
  <c r="M126" i="6"/>
  <c r="J126" i="6"/>
  <c r="O126" i="6" s="1"/>
  <c r="I126" i="6"/>
  <c r="G126" i="6"/>
  <c r="F126" i="6"/>
  <c r="E126" i="6"/>
  <c r="P125" i="6"/>
  <c r="M125" i="6"/>
  <c r="J125" i="6"/>
  <c r="N125" i="6" s="1"/>
  <c r="I125" i="6"/>
  <c r="G125" i="6"/>
  <c r="F125" i="6"/>
  <c r="E125" i="6"/>
  <c r="P124" i="6"/>
  <c r="M124" i="6"/>
  <c r="J124" i="6"/>
  <c r="O124" i="6" s="1"/>
  <c r="I124" i="6"/>
  <c r="G124" i="6"/>
  <c r="F124" i="6"/>
  <c r="E124" i="6"/>
  <c r="P123" i="6"/>
  <c r="M123" i="6"/>
  <c r="J123" i="6"/>
  <c r="O123" i="6" s="1"/>
  <c r="I123" i="6"/>
  <c r="G123" i="6"/>
  <c r="F123" i="6"/>
  <c r="E123" i="6"/>
  <c r="P122" i="6"/>
  <c r="M122" i="6"/>
  <c r="J122" i="6"/>
  <c r="O122" i="6" s="1"/>
  <c r="I122" i="6"/>
  <c r="G122" i="6"/>
  <c r="F122" i="6"/>
  <c r="E122" i="6"/>
  <c r="P121" i="6"/>
  <c r="M121" i="6"/>
  <c r="J121" i="6"/>
  <c r="O121" i="6" s="1"/>
  <c r="I121" i="6"/>
  <c r="G121" i="6"/>
  <c r="F121" i="6"/>
  <c r="E121" i="6"/>
  <c r="P120" i="6"/>
  <c r="M120" i="6"/>
  <c r="J120" i="6"/>
  <c r="O120" i="6" s="1"/>
  <c r="I120" i="6"/>
  <c r="G120" i="6"/>
  <c r="F120" i="6"/>
  <c r="E120" i="6"/>
  <c r="P119" i="6"/>
  <c r="M119" i="6"/>
  <c r="J119" i="6"/>
  <c r="O119" i="6" s="1"/>
  <c r="I119" i="6"/>
  <c r="G119" i="6"/>
  <c r="F119" i="6"/>
  <c r="E119" i="6"/>
  <c r="P118" i="6"/>
  <c r="M118" i="6"/>
  <c r="J118" i="6"/>
  <c r="O118" i="6" s="1"/>
  <c r="I118" i="6"/>
  <c r="G118" i="6"/>
  <c r="F118" i="6"/>
  <c r="E118" i="6"/>
  <c r="P117" i="6"/>
  <c r="M117" i="6"/>
  <c r="J117" i="6"/>
  <c r="N117" i="6" s="1"/>
  <c r="I117" i="6"/>
  <c r="G117" i="6"/>
  <c r="F117" i="6"/>
  <c r="E117" i="6"/>
  <c r="P116" i="6"/>
  <c r="M116" i="6"/>
  <c r="J116" i="6"/>
  <c r="O116" i="6" s="1"/>
  <c r="I116" i="6"/>
  <c r="G116" i="6"/>
  <c r="F116" i="6"/>
  <c r="E116" i="6"/>
  <c r="P115" i="6"/>
  <c r="M115" i="6"/>
  <c r="J115" i="6"/>
  <c r="O115" i="6" s="1"/>
  <c r="I115" i="6"/>
  <c r="G115" i="6"/>
  <c r="F115" i="6"/>
  <c r="E115" i="6"/>
  <c r="P114" i="6"/>
  <c r="M114" i="6"/>
  <c r="J114" i="6"/>
  <c r="O114" i="6" s="1"/>
  <c r="I114" i="6"/>
  <c r="G114" i="6"/>
  <c r="F114" i="6"/>
  <c r="E114" i="6"/>
  <c r="P113" i="6"/>
  <c r="M113" i="6"/>
  <c r="J113" i="6"/>
  <c r="O113" i="6" s="1"/>
  <c r="I113" i="6"/>
  <c r="G113" i="6"/>
  <c r="F113" i="6"/>
  <c r="E113" i="6"/>
  <c r="P112" i="6"/>
  <c r="M112" i="6"/>
  <c r="J112" i="6"/>
  <c r="O112" i="6" s="1"/>
  <c r="I112" i="6"/>
  <c r="G112" i="6"/>
  <c r="F112" i="6"/>
  <c r="E112" i="6"/>
  <c r="P111" i="6"/>
  <c r="M111" i="6"/>
  <c r="J111" i="6"/>
  <c r="O111" i="6" s="1"/>
  <c r="I111" i="6"/>
  <c r="G111" i="6"/>
  <c r="F111" i="6"/>
  <c r="E111" i="6"/>
  <c r="P110" i="6"/>
  <c r="M110" i="6"/>
  <c r="J110" i="6"/>
  <c r="O110" i="6" s="1"/>
  <c r="I110" i="6"/>
  <c r="G110" i="6"/>
  <c r="F110" i="6"/>
  <c r="E110" i="6"/>
  <c r="P109" i="6"/>
  <c r="M109" i="6"/>
  <c r="J109" i="6"/>
  <c r="N109" i="6" s="1"/>
  <c r="I109" i="6"/>
  <c r="G109" i="6"/>
  <c r="F109" i="6"/>
  <c r="E109" i="6"/>
  <c r="P108" i="6"/>
  <c r="M108" i="6"/>
  <c r="J108" i="6"/>
  <c r="O108" i="6" s="1"/>
  <c r="I108" i="6"/>
  <c r="G108" i="6"/>
  <c r="F108" i="6"/>
  <c r="E108" i="6"/>
  <c r="P107" i="6"/>
  <c r="M107" i="6"/>
  <c r="J107" i="6"/>
  <c r="O107" i="6" s="1"/>
  <c r="I107" i="6"/>
  <c r="G107" i="6"/>
  <c r="F107" i="6"/>
  <c r="E107" i="6"/>
  <c r="P106" i="6"/>
  <c r="M106" i="6"/>
  <c r="J106" i="6"/>
  <c r="O106" i="6" s="1"/>
  <c r="I106" i="6"/>
  <c r="G106" i="6"/>
  <c r="F106" i="6"/>
  <c r="E106" i="6"/>
  <c r="P105" i="6"/>
  <c r="M105" i="6"/>
  <c r="J105" i="6"/>
  <c r="O105" i="6" s="1"/>
  <c r="I105" i="6"/>
  <c r="G105" i="6"/>
  <c r="F105" i="6"/>
  <c r="E105" i="6"/>
  <c r="P104" i="6"/>
  <c r="M104" i="6"/>
  <c r="J104" i="6"/>
  <c r="O104" i="6" s="1"/>
  <c r="I104" i="6"/>
  <c r="G104" i="6"/>
  <c r="F104" i="6"/>
  <c r="E104" i="6"/>
  <c r="P103" i="6"/>
  <c r="M103" i="6"/>
  <c r="J103" i="6"/>
  <c r="O103" i="6" s="1"/>
  <c r="I103" i="6"/>
  <c r="G103" i="6"/>
  <c r="F103" i="6"/>
  <c r="E103" i="6"/>
  <c r="P102" i="6"/>
  <c r="M102" i="6"/>
  <c r="J102" i="6"/>
  <c r="O102" i="6" s="1"/>
  <c r="I102" i="6"/>
  <c r="G102" i="6"/>
  <c r="F102" i="6"/>
  <c r="E102" i="6"/>
  <c r="P101" i="6"/>
  <c r="M101" i="6"/>
  <c r="J101" i="6"/>
  <c r="N101" i="6" s="1"/>
  <c r="I101" i="6"/>
  <c r="G101" i="6"/>
  <c r="F101" i="6"/>
  <c r="E101" i="6"/>
  <c r="P100" i="6"/>
  <c r="M100" i="6"/>
  <c r="J100" i="6"/>
  <c r="O100" i="6" s="1"/>
  <c r="I100" i="6"/>
  <c r="G100" i="6"/>
  <c r="F100" i="6"/>
  <c r="E100" i="6"/>
  <c r="P99" i="6"/>
  <c r="M99" i="6"/>
  <c r="J99" i="6"/>
  <c r="O99" i="6" s="1"/>
  <c r="I99" i="6"/>
  <c r="G99" i="6"/>
  <c r="F99" i="6"/>
  <c r="E99" i="6"/>
  <c r="P98" i="6"/>
  <c r="M98" i="6"/>
  <c r="J98" i="6"/>
  <c r="O98" i="6" s="1"/>
  <c r="I98" i="6"/>
  <c r="G98" i="6"/>
  <c r="F98" i="6"/>
  <c r="E98" i="6"/>
  <c r="P97" i="6"/>
  <c r="M97" i="6"/>
  <c r="J97" i="6"/>
  <c r="O97" i="6" s="1"/>
  <c r="I97" i="6"/>
  <c r="G97" i="6"/>
  <c r="F97" i="6"/>
  <c r="E97" i="6"/>
  <c r="P96" i="6"/>
  <c r="M96" i="6"/>
  <c r="J96" i="6"/>
  <c r="O96" i="6" s="1"/>
  <c r="I96" i="6"/>
  <c r="G96" i="6"/>
  <c r="F96" i="6"/>
  <c r="E96" i="6"/>
  <c r="P95" i="6"/>
  <c r="M95" i="6"/>
  <c r="J95" i="6"/>
  <c r="O95" i="6" s="1"/>
  <c r="I95" i="6"/>
  <c r="G95" i="6"/>
  <c r="F95" i="6"/>
  <c r="E95" i="6"/>
  <c r="P94" i="6"/>
  <c r="M94" i="6"/>
  <c r="J94" i="6"/>
  <c r="O94" i="6" s="1"/>
  <c r="I94" i="6"/>
  <c r="G94" i="6"/>
  <c r="F94" i="6"/>
  <c r="E94" i="6"/>
  <c r="P93" i="6"/>
  <c r="M93" i="6"/>
  <c r="J93" i="6"/>
  <c r="N93" i="6" s="1"/>
  <c r="I93" i="6"/>
  <c r="G93" i="6"/>
  <c r="F93" i="6"/>
  <c r="E93" i="6"/>
  <c r="P92" i="6"/>
  <c r="M92" i="6"/>
  <c r="J92" i="6"/>
  <c r="O92" i="6" s="1"/>
  <c r="I92" i="6"/>
  <c r="G92" i="6"/>
  <c r="F92" i="6"/>
  <c r="E92" i="6"/>
  <c r="P91" i="6"/>
  <c r="M91" i="6"/>
  <c r="J91" i="6"/>
  <c r="O91" i="6" s="1"/>
  <c r="I91" i="6"/>
  <c r="G91" i="6"/>
  <c r="F91" i="6"/>
  <c r="E91" i="6"/>
  <c r="P90" i="6"/>
  <c r="M90" i="6"/>
  <c r="J90" i="6"/>
  <c r="O90" i="6" s="1"/>
  <c r="I90" i="6"/>
  <c r="G90" i="6"/>
  <c r="F90" i="6"/>
  <c r="E90" i="6"/>
  <c r="P89" i="6"/>
  <c r="M89" i="6"/>
  <c r="J89" i="6"/>
  <c r="O89" i="6" s="1"/>
  <c r="I89" i="6"/>
  <c r="G89" i="6"/>
  <c r="F89" i="6"/>
  <c r="E89" i="6"/>
  <c r="P88" i="6"/>
  <c r="M88" i="6"/>
  <c r="J88" i="6"/>
  <c r="O88" i="6" s="1"/>
  <c r="I88" i="6"/>
  <c r="G88" i="6"/>
  <c r="F88" i="6"/>
  <c r="E88" i="6"/>
  <c r="P87" i="6"/>
  <c r="M87" i="6"/>
  <c r="J87" i="6"/>
  <c r="O87" i="6" s="1"/>
  <c r="I87" i="6"/>
  <c r="G87" i="6"/>
  <c r="F87" i="6"/>
  <c r="E87" i="6"/>
  <c r="P86" i="6"/>
  <c r="M86" i="6"/>
  <c r="J86" i="6"/>
  <c r="O86" i="6" s="1"/>
  <c r="I86" i="6"/>
  <c r="G86" i="6"/>
  <c r="F86" i="6"/>
  <c r="E86" i="6"/>
  <c r="P85" i="6"/>
  <c r="M85" i="6"/>
  <c r="J85" i="6"/>
  <c r="N85" i="6" s="1"/>
  <c r="I85" i="6"/>
  <c r="G85" i="6"/>
  <c r="F85" i="6"/>
  <c r="E85" i="6"/>
  <c r="P84" i="6"/>
  <c r="M84" i="6"/>
  <c r="J84" i="6"/>
  <c r="O84" i="6" s="1"/>
  <c r="I84" i="6"/>
  <c r="G84" i="6"/>
  <c r="F84" i="6"/>
  <c r="E84" i="6"/>
  <c r="P83" i="6"/>
  <c r="M83" i="6"/>
  <c r="J83" i="6"/>
  <c r="O83" i="6" s="1"/>
  <c r="I83" i="6"/>
  <c r="G83" i="6"/>
  <c r="F83" i="6"/>
  <c r="E83" i="6"/>
  <c r="P82" i="6"/>
  <c r="M82" i="6"/>
  <c r="J82" i="6"/>
  <c r="O82" i="6" s="1"/>
  <c r="I82" i="6"/>
  <c r="G82" i="6"/>
  <c r="F82" i="6"/>
  <c r="E82" i="6"/>
  <c r="P81" i="6"/>
  <c r="M81" i="6"/>
  <c r="J81" i="6"/>
  <c r="O81" i="6" s="1"/>
  <c r="I81" i="6"/>
  <c r="G81" i="6"/>
  <c r="F81" i="6"/>
  <c r="E81" i="6"/>
  <c r="P80" i="6"/>
  <c r="M80" i="6"/>
  <c r="J80" i="6"/>
  <c r="O80" i="6" s="1"/>
  <c r="I80" i="6"/>
  <c r="G80" i="6"/>
  <c r="F80" i="6"/>
  <c r="E80" i="6"/>
  <c r="P79" i="6"/>
  <c r="M79" i="6"/>
  <c r="J79" i="6"/>
  <c r="O79" i="6" s="1"/>
  <c r="I79" i="6"/>
  <c r="G79" i="6"/>
  <c r="F79" i="6"/>
  <c r="E79" i="6"/>
  <c r="P78" i="6"/>
  <c r="M78" i="6"/>
  <c r="J78" i="6"/>
  <c r="O78" i="6" s="1"/>
  <c r="I78" i="6"/>
  <c r="G78" i="6"/>
  <c r="F78" i="6"/>
  <c r="E78" i="6"/>
  <c r="P77" i="6"/>
  <c r="M77" i="6"/>
  <c r="J77" i="6"/>
  <c r="N77" i="6" s="1"/>
  <c r="I77" i="6"/>
  <c r="G77" i="6"/>
  <c r="F77" i="6"/>
  <c r="E77" i="6"/>
  <c r="P76" i="6"/>
  <c r="M76" i="6"/>
  <c r="J76" i="6"/>
  <c r="O76" i="6" s="1"/>
  <c r="I76" i="6"/>
  <c r="G76" i="6"/>
  <c r="F76" i="6"/>
  <c r="E76" i="6"/>
  <c r="P75" i="6"/>
  <c r="M75" i="6"/>
  <c r="J75" i="6"/>
  <c r="O75" i="6" s="1"/>
  <c r="I75" i="6"/>
  <c r="G75" i="6"/>
  <c r="F75" i="6"/>
  <c r="E75" i="6"/>
  <c r="P74" i="6"/>
  <c r="M74" i="6"/>
  <c r="J74" i="6"/>
  <c r="O74" i="6" s="1"/>
  <c r="I74" i="6"/>
  <c r="G74" i="6"/>
  <c r="F74" i="6"/>
  <c r="E74" i="6"/>
  <c r="P73" i="6"/>
  <c r="M73" i="6"/>
  <c r="J73" i="6"/>
  <c r="O73" i="6" s="1"/>
  <c r="I73" i="6"/>
  <c r="G73" i="6"/>
  <c r="F73" i="6"/>
  <c r="E73" i="6"/>
  <c r="P72" i="6"/>
  <c r="M72" i="6"/>
  <c r="J72" i="6"/>
  <c r="O72" i="6" s="1"/>
  <c r="I72" i="6"/>
  <c r="G72" i="6"/>
  <c r="F72" i="6"/>
  <c r="E72" i="6"/>
  <c r="P71" i="6"/>
  <c r="M71" i="6"/>
  <c r="J71" i="6"/>
  <c r="O71" i="6" s="1"/>
  <c r="I71" i="6"/>
  <c r="G71" i="6"/>
  <c r="F71" i="6"/>
  <c r="E71" i="6"/>
  <c r="P70" i="6"/>
  <c r="M70" i="6"/>
  <c r="J70" i="6"/>
  <c r="O70" i="6" s="1"/>
  <c r="I70" i="6"/>
  <c r="G70" i="6"/>
  <c r="F70" i="6"/>
  <c r="E70" i="6"/>
  <c r="P69" i="6"/>
  <c r="M69" i="6"/>
  <c r="J69" i="6"/>
  <c r="N69" i="6" s="1"/>
  <c r="I69" i="6"/>
  <c r="G69" i="6"/>
  <c r="F69" i="6"/>
  <c r="E69" i="6"/>
  <c r="P68" i="6"/>
  <c r="M68" i="6"/>
  <c r="J68" i="6"/>
  <c r="O68" i="6" s="1"/>
  <c r="I68" i="6"/>
  <c r="G68" i="6"/>
  <c r="F68" i="6"/>
  <c r="E68" i="6"/>
  <c r="P67" i="6"/>
  <c r="M67" i="6"/>
  <c r="J67" i="6"/>
  <c r="O67" i="6" s="1"/>
  <c r="I67" i="6"/>
  <c r="G67" i="6"/>
  <c r="F67" i="6"/>
  <c r="E67" i="6"/>
  <c r="P66" i="6"/>
  <c r="M66" i="6"/>
  <c r="J66" i="6"/>
  <c r="O66" i="6" s="1"/>
  <c r="I66" i="6"/>
  <c r="G66" i="6"/>
  <c r="F66" i="6"/>
  <c r="E66" i="6"/>
  <c r="P65" i="6"/>
  <c r="M65" i="6"/>
  <c r="J65" i="6"/>
  <c r="O65" i="6" s="1"/>
  <c r="I65" i="6"/>
  <c r="G65" i="6"/>
  <c r="F65" i="6"/>
  <c r="E65" i="6"/>
  <c r="P64" i="6"/>
  <c r="M64" i="6"/>
  <c r="J64" i="6"/>
  <c r="O64" i="6" s="1"/>
  <c r="I64" i="6"/>
  <c r="G64" i="6"/>
  <c r="F64" i="6"/>
  <c r="E64" i="6"/>
  <c r="P63" i="6"/>
  <c r="M63" i="6"/>
  <c r="J63" i="6"/>
  <c r="O63" i="6" s="1"/>
  <c r="I63" i="6"/>
  <c r="G63" i="6"/>
  <c r="F63" i="6"/>
  <c r="E63" i="6"/>
  <c r="P62" i="6"/>
  <c r="M62" i="6"/>
  <c r="J62" i="6"/>
  <c r="O62" i="6" s="1"/>
  <c r="I62" i="6"/>
  <c r="G62" i="6"/>
  <c r="F62" i="6"/>
  <c r="E62" i="6"/>
  <c r="P61" i="6"/>
  <c r="M61" i="6"/>
  <c r="J61" i="6"/>
  <c r="N61" i="6" s="1"/>
  <c r="I61" i="6"/>
  <c r="G61" i="6"/>
  <c r="F61" i="6"/>
  <c r="E61" i="6"/>
  <c r="P60" i="6"/>
  <c r="M60" i="6"/>
  <c r="J60" i="6"/>
  <c r="O60" i="6" s="1"/>
  <c r="I60" i="6"/>
  <c r="G60" i="6"/>
  <c r="F60" i="6"/>
  <c r="E60" i="6"/>
  <c r="P59" i="6"/>
  <c r="M59" i="6"/>
  <c r="J59" i="6"/>
  <c r="O59" i="6" s="1"/>
  <c r="I59" i="6"/>
  <c r="G59" i="6"/>
  <c r="F59" i="6"/>
  <c r="E59" i="6"/>
  <c r="P58" i="6"/>
  <c r="M58" i="6"/>
  <c r="J58" i="6"/>
  <c r="O58" i="6" s="1"/>
  <c r="I58" i="6"/>
  <c r="G58" i="6"/>
  <c r="F58" i="6"/>
  <c r="E58" i="6"/>
  <c r="P57" i="6"/>
  <c r="M57" i="6"/>
  <c r="J57" i="6"/>
  <c r="O57" i="6" s="1"/>
  <c r="I57" i="6"/>
  <c r="G57" i="6"/>
  <c r="F57" i="6"/>
  <c r="E57" i="6"/>
  <c r="P56" i="6"/>
  <c r="M56" i="6"/>
  <c r="J56" i="6"/>
  <c r="O56" i="6" s="1"/>
  <c r="I56" i="6"/>
  <c r="G56" i="6"/>
  <c r="F56" i="6"/>
  <c r="E56" i="6"/>
  <c r="P55" i="6"/>
  <c r="M55" i="6"/>
  <c r="J55" i="6"/>
  <c r="O55" i="6" s="1"/>
  <c r="I55" i="6"/>
  <c r="G55" i="6"/>
  <c r="F55" i="6"/>
  <c r="E55" i="6"/>
  <c r="P54" i="6"/>
  <c r="M54" i="6"/>
  <c r="J54" i="6"/>
  <c r="O54" i="6" s="1"/>
  <c r="I54" i="6"/>
  <c r="G54" i="6"/>
  <c r="F54" i="6"/>
  <c r="E54" i="6"/>
  <c r="P53" i="6"/>
  <c r="M53" i="6"/>
  <c r="J53" i="6"/>
  <c r="N53" i="6" s="1"/>
  <c r="I53" i="6"/>
  <c r="G53" i="6"/>
  <c r="F53" i="6"/>
  <c r="E53" i="6"/>
  <c r="P52" i="6"/>
  <c r="M52" i="6"/>
  <c r="J52" i="6"/>
  <c r="O52" i="6" s="1"/>
  <c r="I52" i="6"/>
  <c r="G52" i="6"/>
  <c r="F52" i="6"/>
  <c r="E52" i="6"/>
  <c r="P51" i="6"/>
  <c r="M51" i="6"/>
  <c r="J51" i="6"/>
  <c r="O51" i="6" s="1"/>
  <c r="I51" i="6"/>
  <c r="G51" i="6"/>
  <c r="F51" i="6"/>
  <c r="E51" i="6"/>
  <c r="P50" i="6"/>
  <c r="M50" i="6"/>
  <c r="J50" i="6"/>
  <c r="O50" i="6" s="1"/>
  <c r="I50" i="6"/>
  <c r="G50" i="6"/>
  <c r="F50" i="6"/>
  <c r="E50" i="6"/>
  <c r="P49" i="6"/>
  <c r="M49" i="6"/>
  <c r="J49" i="6"/>
  <c r="O49" i="6" s="1"/>
  <c r="I49" i="6"/>
  <c r="G49" i="6"/>
  <c r="F49" i="6"/>
  <c r="E49" i="6"/>
  <c r="P48" i="6"/>
  <c r="M48" i="6"/>
  <c r="J48" i="6"/>
  <c r="O48" i="6" s="1"/>
  <c r="I48" i="6"/>
  <c r="G48" i="6"/>
  <c r="F48" i="6"/>
  <c r="E48" i="6"/>
  <c r="P47" i="6"/>
  <c r="M47" i="6"/>
  <c r="J47" i="6"/>
  <c r="O47" i="6" s="1"/>
  <c r="I47" i="6"/>
  <c r="G47" i="6"/>
  <c r="F47" i="6"/>
  <c r="E47" i="6"/>
  <c r="P46" i="6"/>
  <c r="M46" i="6"/>
  <c r="J46" i="6"/>
  <c r="O46" i="6" s="1"/>
  <c r="I46" i="6"/>
  <c r="G46" i="6"/>
  <c r="F46" i="6"/>
  <c r="E46" i="6"/>
  <c r="P45" i="6"/>
  <c r="M45" i="6"/>
  <c r="J45" i="6"/>
  <c r="N45" i="6" s="1"/>
  <c r="I45" i="6"/>
  <c r="G45" i="6"/>
  <c r="F45" i="6"/>
  <c r="E45" i="6"/>
  <c r="P44" i="6"/>
  <c r="M44" i="6"/>
  <c r="J44" i="6"/>
  <c r="O44" i="6" s="1"/>
  <c r="I44" i="6"/>
  <c r="G44" i="6"/>
  <c r="F44" i="6"/>
  <c r="E44" i="6"/>
  <c r="P43" i="6"/>
  <c r="M43" i="6"/>
  <c r="J43" i="6"/>
  <c r="O43" i="6" s="1"/>
  <c r="I43" i="6"/>
  <c r="G43" i="6"/>
  <c r="F43" i="6"/>
  <c r="E43" i="6"/>
  <c r="P42" i="6"/>
  <c r="M42" i="6"/>
  <c r="J42" i="6"/>
  <c r="O42" i="6" s="1"/>
  <c r="I42" i="6"/>
  <c r="G42" i="6"/>
  <c r="F42" i="6"/>
  <c r="E42" i="6"/>
  <c r="P41" i="6"/>
  <c r="M41" i="6"/>
  <c r="J41" i="6"/>
  <c r="O41" i="6" s="1"/>
  <c r="I41" i="6"/>
  <c r="G41" i="6"/>
  <c r="F41" i="6"/>
  <c r="E41" i="6"/>
  <c r="P40" i="6"/>
  <c r="M40" i="6"/>
  <c r="J40" i="6"/>
  <c r="O40" i="6" s="1"/>
  <c r="I40" i="6"/>
  <c r="G40" i="6"/>
  <c r="F40" i="6"/>
  <c r="E40" i="6"/>
  <c r="P39" i="6"/>
  <c r="M39" i="6"/>
  <c r="J39" i="6"/>
  <c r="O39" i="6" s="1"/>
  <c r="I39" i="6"/>
  <c r="G39" i="6"/>
  <c r="F39" i="6"/>
  <c r="E39" i="6"/>
  <c r="P38" i="6"/>
  <c r="M38" i="6"/>
  <c r="J38" i="6"/>
  <c r="O38" i="6" s="1"/>
  <c r="I38" i="6"/>
  <c r="G38" i="6"/>
  <c r="F38" i="6"/>
  <c r="E38" i="6"/>
  <c r="P37" i="6"/>
  <c r="M37" i="6"/>
  <c r="J37" i="6"/>
  <c r="N37" i="6" s="1"/>
  <c r="I37" i="6"/>
  <c r="G37" i="6"/>
  <c r="F37" i="6"/>
  <c r="E37" i="6"/>
  <c r="P36" i="6"/>
  <c r="M36" i="6"/>
  <c r="J36" i="6"/>
  <c r="O36" i="6" s="1"/>
  <c r="I36" i="6"/>
  <c r="G36" i="6"/>
  <c r="F36" i="6"/>
  <c r="E36" i="6"/>
  <c r="P35" i="6"/>
  <c r="M35" i="6"/>
  <c r="J35" i="6"/>
  <c r="O35" i="6" s="1"/>
  <c r="I35" i="6"/>
  <c r="G35" i="6"/>
  <c r="F35" i="6"/>
  <c r="E35" i="6"/>
  <c r="P34" i="6"/>
  <c r="M34" i="6"/>
  <c r="J34" i="6"/>
  <c r="O34" i="6" s="1"/>
  <c r="I34" i="6"/>
  <c r="G34" i="6"/>
  <c r="F34" i="6"/>
  <c r="E34" i="6"/>
  <c r="P33" i="6"/>
  <c r="M33" i="6"/>
  <c r="J33" i="6"/>
  <c r="O33" i="6" s="1"/>
  <c r="I33" i="6"/>
  <c r="G33" i="6"/>
  <c r="F33" i="6"/>
  <c r="E33" i="6"/>
  <c r="P32" i="6"/>
  <c r="M32" i="6"/>
  <c r="J32" i="6"/>
  <c r="O32" i="6" s="1"/>
  <c r="I32" i="6"/>
  <c r="G32" i="6"/>
  <c r="F32" i="6"/>
  <c r="E32" i="6"/>
  <c r="P31" i="6"/>
  <c r="M31" i="6"/>
  <c r="J31" i="6"/>
  <c r="O31" i="6" s="1"/>
  <c r="I31" i="6"/>
  <c r="G31" i="6"/>
  <c r="F31" i="6"/>
  <c r="E31" i="6"/>
  <c r="P30" i="6"/>
  <c r="M30" i="6"/>
  <c r="J30" i="6"/>
  <c r="O30" i="6" s="1"/>
  <c r="I30" i="6"/>
  <c r="G30" i="6"/>
  <c r="F30" i="6"/>
  <c r="E30" i="6"/>
  <c r="P29" i="6"/>
  <c r="M29" i="6"/>
  <c r="J29" i="6"/>
  <c r="N29" i="6" s="1"/>
  <c r="I29" i="6"/>
  <c r="G29" i="6"/>
  <c r="F29" i="6"/>
  <c r="E29" i="6"/>
  <c r="P28" i="6"/>
  <c r="M28" i="6"/>
  <c r="J28" i="6"/>
  <c r="O28" i="6" s="1"/>
  <c r="I28" i="6"/>
  <c r="G28" i="6"/>
  <c r="F28" i="6"/>
  <c r="E28" i="6"/>
  <c r="P27" i="6"/>
  <c r="M27" i="6"/>
  <c r="J27" i="6"/>
  <c r="O27" i="6" s="1"/>
  <c r="I27" i="6"/>
  <c r="G27" i="6"/>
  <c r="F27" i="6"/>
  <c r="E27" i="6"/>
  <c r="P26" i="6"/>
  <c r="M26" i="6"/>
  <c r="J26" i="6"/>
  <c r="O26" i="6" s="1"/>
  <c r="I26" i="6"/>
  <c r="G26" i="6"/>
  <c r="F26" i="6"/>
  <c r="E26" i="6"/>
  <c r="P25" i="6"/>
  <c r="M25" i="6"/>
  <c r="J25" i="6"/>
  <c r="O25" i="6" s="1"/>
  <c r="I25" i="6"/>
  <c r="G25" i="6"/>
  <c r="F25" i="6"/>
  <c r="E25" i="6"/>
  <c r="P24" i="6"/>
  <c r="M24" i="6"/>
  <c r="J24" i="6"/>
  <c r="O24" i="6" s="1"/>
  <c r="I24" i="6"/>
  <c r="G24" i="6"/>
  <c r="F24" i="6"/>
  <c r="E24" i="6"/>
  <c r="P23" i="6"/>
  <c r="M23" i="6"/>
  <c r="J23" i="6"/>
  <c r="O23" i="6" s="1"/>
  <c r="I23" i="6"/>
  <c r="G23" i="6"/>
  <c r="F23" i="6"/>
  <c r="E23" i="6"/>
  <c r="P22" i="6"/>
  <c r="M22" i="6"/>
  <c r="J22" i="6"/>
  <c r="O22" i="6" s="1"/>
  <c r="I22" i="6"/>
  <c r="G22" i="6"/>
  <c r="F22" i="6"/>
  <c r="E22" i="6"/>
  <c r="P21" i="6"/>
  <c r="M21" i="6"/>
  <c r="J21" i="6"/>
  <c r="N21" i="6" s="1"/>
  <c r="I21" i="6"/>
  <c r="G21" i="6"/>
  <c r="F21" i="6"/>
  <c r="E21" i="6"/>
  <c r="P20" i="6"/>
  <c r="M20" i="6"/>
  <c r="J20" i="6"/>
  <c r="O20" i="6" s="1"/>
  <c r="I20" i="6"/>
  <c r="G20" i="6"/>
  <c r="F20" i="6"/>
  <c r="E20" i="6"/>
  <c r="P19" i="6"/>
  <c r="M19" i="6"/>
  <c r="J19" i="6"/>
  <c r="O19" i="6" s="1"/>
  <c r="I19" i="6"/>
  <c r="G19" i="6"/>
  <c r="F19" i="6"/>
  <c r="E19" i="6"/>
  <c r="P18" i="6"/>
  <c r="M18" i="6"/>
  <c r="J18" i="6"/>
  <c r="O18" i="6" s="1"/>
  <c r="I18" i="6"/>
  <c r="G18" i="6"/>
  <c r="F18" i="6"/>
  <c r="E18" i="6"/>
  <c r="P17" i="6"/>
  <c r="M17" i="6"/>
  <c r="J17" i="6"/>
  <c r="O17" i="6" s="1"/>
  <c r="I17" i="6"/>
  <c r="G17" i="6"/>
  <c r="F17" i="6"/>
  <c r="E17" i="6"/>
  <c r="P16" i="6"/>
  <c r="M16" i="6"/>
  <c r="J16" i="6"/>
  <c r="O16" i="6" s="1"/>
  <c r="I16" i="6"/>
  <c r="G16" i="6"/>
  <c r="F16" i="6"/>
  <c r="E16" i="6"/>
  <c r="P15" i="6"/>
  <c r="M15" i="6"/>
  <c r="J15" i="6"/>
  <c r="O15" i="6" s="1"/>
  <c r="I15" i="6"/>
  <c r="G15" i="6"/>
  <c r="F15" i="6"/>
  <c r="E15" i="6"/>
  <c r="P14" i="6"/>
  <c r="M14" i="6"/>
  <c r="J14" i="6"/>
  <c r="O14" i="6" s="1"/>
  <c r="I14" i="6"/>
  <c r="G14" i="6"/>
  <c r="F14" i="6"/>
  <c r="E14" i="6"/>
  <c r="P13" i="6"/>
  <c r="M13" i="6"/>
  <c r="J13" i="6"/>
  <c r="N13" i="6" s="1"/>
  <c r="I13" i="6"/>
  <c r="G13" i="6"/>
  <c r="F13" i="6"/>
  <c r="E13" i="6"/>
  <c r="P12" i="6"/>
  <c r="M12" i="6"/>
  <c r="J12" i="6"/>
  <c r="O12" i="6" s="1"/>
  <c r="I12" i="6"/>
  <c r="G12" i="6"/>
  <c r="F12" i="6"/>
  <c r="E12" i="6"/>
  <c r="P11" i="6"/>
  <c r="M11" i="6"/>
  <c r="J11" i="6"/>
  <c r="O11" i="6" s="1"/>
  <c r="I11" i="6"/>
  <c r="G11" i="6"/>
  <c r="F11" i="6"/>
  <c r="E11" i="6"/>
  <c r="P10" i="6"/>
  <c r="M10" i="6"/>
  <c r="J10" i="6"/>
  <c r="O10" i="6" s="1"/>
  <c r="I10" i="6"/>
  <c r="G10" i="6"/>
  <c r="F10" i="6"/>
  <c r="E10" i="6"/>
  <c r="P9" i="6"/>
  <c r="M9" i="6"/>
  <c r="J9" i="6"/>
  <c r="O9" i="6" s="1"/>
  <c r="I9" i="6"/>
  <c r="G9" i="6"/>
  <c r="F9" i="6"/>
  <c r="E9" i="6"/>
  <c r="P8" i="6"/>
  <c r="M8" i="6"/>
  <c r="J8" i="6"/>
  <c r="O8" i="6" s="1"/>
  <c r="I8" i="6"/>
  <c r="G8" i="6"/>
  <c r="F8" i="6"/>
  <c r="E8" i="6"/>
  <c r="P7" i="6"/>
  <c r="M7" i="6"/>
  <c r="J7" i="6"/>
  <c r="O7" i="6" s="1"/>
  <c r="I7" i="6"/>
  <c r="G7" i="6"/>
  <c r="F7" i="6"/>
  <c r="E7" i="6"/>
  <c r="P6" i="6"/>
  <c r="M6" i="6"/>
  <c r="J6" i="6"/>
  <c r="O6" i="6" s="1"/>
  <c r="I6" i="6"/>
  <c r="G6" i="6"/>
  <c r="F6" i="6"/>
  <c r="E6" i="6"/>
  <c r="P5" i="6"/>
  <c r="M5" i="6"/>
  <c r="J5" i="6"/>
  <c r="N5" i="6" s="1"/>
  <c r="I5" i="6"/>
  <c r="G5" i="6"/>
  <c r="F5" i="6"/>
  <c r="E5" i="6"/>
  <c r="P4" i="6"/>
  <c r="M4" i="6"/>
  <c r="J4" i="6"/>
  <c r="O4" i="6" s="1"/>
  <c r="I4" i="6"/>
  <c r="G4" i="6"/>
  <c r="F4" i="6"/>
  <c r="E4" i="6"/>
  <c r="P3" i="6"/>
  <c r="M3" i="6"/>
  <c r="J3" i="6"/>
  <c r="O3" i="6" s="1"/>
  <c r="I3" i="6"/>
  <c r="G3" i="6"/>
  <c r="F3" i="6"/>
  <c r="E3" i="6"/>
  <c r="P2" i="6"/>
  <c r="J2" i="6"/>
  <c r="N2" i="6" s="1"/>
  <c r="I2" i="6"/>
  <c r="G2" i="6"/>
  <c r="F2" i="6"/>
  <c r="E2" i="6"/>
  <c r="I25" i="19" l="1"/>
  <c r="I24" i="19"/>
  <c r="I23" i="19"/>
  <c r="F23" i="19"/>
  <c r="I22" i="19"/>
  <c r="F25" i="19"/>
  <c r="F24" i="19"/>
  <c r="N224" i="6"/>
  <c r="N10" i="6"/>
  <c r="N42" i="6"/>
  <c r="N116" i="6"/>
  <c r="N194" i="6"/>
  <c r="N35" i="6"/>
  <c r="N210" i="6"/>
  <c r="N36" i="6"/>
  <c r="N240" i="6"/>
  <c r="N51" i="6"/>
  <c r="N58" i="6"/>
  <c r="N227" i="6"/>
  <c r="N235" i="6"/>
  <c r="N188" i="6"/>
  <c r="N154" i="6"/>
  <c r="N228" i="6"/>
  <c r="N26" i="6"/>
  <c r="N74" i="6"/>
  <c r="N132" i="6"/>
  <c r="N170" i="6"/>
  <c r="N218" i="6"/>
  <c r="N232" i="6"/>
  <c r="N4" i="6"/>
  <c r="N67" i="6"/>
  <c r="N90" i="6"/>
  <c r="N178" i="6"/>
  <c r="N106" i="6"/>
  <c r="N148" i="6"/>
  <c r="N186" i="6"/>
  <c r="N204" i="6"/>
  <c r="N236" i="6"/>
  <c r="N243" i="6"/>
  <c r="N20" i="6"/>
  <c r="N32" i="6"/>
  <c r="N138" i="6"/>
  <c r="N202" i="6"/>
  <c r="N244" i="6"/>
  <c r="N52" i="6"/>
  <c r="N68" i="6"/>
  <c r="N84" i="6"/>
  <c r="N100" i="6"/>
  <c r="N164" i="6"/>
  <c r="N180" i="6"/>
  <c r="N196" i="6"/>
  <c r="N216" i="6"/>
  <c r="N219" i="6"/>
  <c r="N226" i="6"/>
  <c r="N242" i="6"/>
  <c r="N24" i="6"/>
  <c r="N27" i="6"/>
  <c r="N40" i="6"/>
  <c r="N43" i="6"/>
  <c r="N56" i="6"/>
  <c r="N59" i="6"/>
  <c r="N72" i="6"/>
  <c r="N75" i="6"/>
  <c r="N88" i="6"/>
  <c r="N91" i="6"/>
  <c r="N104" i="6"/>
  <c r="N107" i="6"/>
  <c r="N120" i="6"/>
  <c r="N123" i="6"/>
  <c r="N136" i="6"/>
  <c r="N139" i="6"/>
  <c r="N152" i="6"/>
  <c r="N155" i="6"/>
  <c r="N168" i="6"/>
  <c r="N171" i="6"/>
  <c r="N184" i="6"/>
  <c r="N187" i="6"/>
  <c r="N200" i="6"/>
  <c r="N203" i="6"/>
  <c r="N8" i="6"/>
  <c r="N18" i="6"/>
  <c r="N34" i="6"/>
  <c r="N50" i="6"/>
  <c r="N66" i="6"/>
  <c r="N82" i="6"/>
  <c r="N98" i="6"/>
  <c r="N114" i="6"/>
  <c r="N130" i="6"/>
  <c r="N146" i="6"/>
  <c r="N162" i="6"/>
  <c r="N11" i="6"/>
  <c r="N12" i="6"/>
  <c r="N28" i="6"/>
  <c r="N44" i="6"/>
  <c r="N60" i="6"/>
  <c r="N76" i="6"/>
  <c r="N92" i="6"/>
  <c r="N108" i="6"/>
  <c r="N124" i="6"/>
  <c r="N140" i="6"/>
  <c r="N156" i="6"/>
  <c r="N172" i="6"/>
  <c r="N234" i="6"/>
  <c r="N3" i="6"/>
  <c r="N16" i="6"/>
  <c r="N19" i="6"/>
  <c r="N48" i="6"/>
  <c r="N64" i="6"/>
  <c r="N80" i="6"/>
  <c r="N83" i="6"/>
  <c r="N96" i="6"/>
  <c r="N99" i="6"/>
  <c r="N112" i="6"/>
  <c r="N115" i="6"/>
  <c r="N128" i="6"/>
  <c r="N131" i="6"/>
  <c r="N144" i="6"/>
  <c r="N147" i="6"/>
  <c r="N160" i="6"/>
  <c r="N163" i="6"/>
  <c r="N176" i="6"/>
  <c r="N179" i="6"/>
  <c r="N192" i="6"/>
  <c r="N195" i="6"/>
  <c r="N208" i="6"/>
  <c r="N211" i="6"/>
  <c r="N122" i="6"/>
  <c r="O2" i="6"/>
  <c r="O237" i="6"/>
  <c r="O229" i="6"/>
  <c r="O221" i="6"/>
  <c r="O213" i="6"/>
  <c r="O205" i="6"/>
  <c r="O197" i="6"/>
  <c r="O189" i="6"/>
  <c r="O181" i="6"/>
  <c r="O173" i="6"/>
  <c r="O165" i="6"/>
  <c r="O157" i="6"/>
  <c r="O149" i="6"/>
  <c r="O141" i="6"/>
  <c r="O133" i="6"/>
  <c r="O125" i="6"/>
  <c r="O117" i="6"/>
  <c r="O109" i="6"/>
  <c r="O101" i="6"/>
  <c r="O93" i="6"/>
  <c r="O85" i="6"/>
  <c r="O77" i="6"/>
  <c r="O69" i="6"/>
  <c r="O61" i="6"/>
  <c r="O53" i="6"/>
  <c r="O45" i="6"/>
  <c r="O37" i="6"/>
  <c r="O29" i="6"/>
  <c r="O21" i="6"/>
  <c r="O13" i="6"/>
  <c r="O5" i="6"/>
  <c r="N6" i="6"/>
  <c r="N14" i="6"/>
  <c r="N22" i="6"/>
  <c r="N30" i="6"/>
  <c r="N38" i="6"/>
  <c r="N46" i="6"/>
  <c r="N54" i="6"/>
  <c r="N62" i="6"/>
  <c r="N70" i="6"/>
  <c r="N78" i="6"/>
  <c r="N86" i="6"/>
  <c r="N94" i="6"/>
  <c r="N102" i="6"/>
  <c r="N110" i="6"/>
  <c r="N118" i="6"/>
  <c r="N126" i="6"/>
  <c r="N134" i="6"/>
  <c r="N142" i="6"/>
  <c r="N150" i="6"/>
  <c r="N158" i="6"/>
  <c r="N166" i="6"/>
  <c r="N174" i="6"/>
  <c r="N182" i="6"/>
  <c r="N190" i="6"/>
  <c r="N198" i="6"/>
  <c r="N206" i="6"/>
  <c r="N214" i="6"/>
  <c r="N222" i="6"/>
  <c r="N230" i="6"/>
  <c r="N238" i="6"/>
  <c r="O220" i="6"/>
  <c r="O212" i="6"/>
  <c r="N9" i="6"/>
  <c r="N17" i="6"/>
  <c r="N25" i="6"/>
  <c r="N33" i="6"/>
  <c r="N41" i="6"/>
  <c r="N49" i="6"/>
  <c r="N57" i="6"/>
  <c r="N65" i="6"/>
  <c r="N73" i="6"/>
  <c r="N81" i="6"/>
  <c r="N89" i="6"/>
  <c r="N97" i="6"/>
  <c r="N105" i="6"/>
  <c r="N113" i="6"/>
  <c r="N121" i="6"/>
  <c r="N129" i="6"/>
  <c r="N137" i="6"/>
  <c r="N145" i="6"/>
  <c r="N153" i="6"/>
  <c r="N161" i="6"/>
  <c r="N169" i="6"/>
  <c r="N177" i="6"/>
  <c r="N185" i="6"/>
  <c r="N193" i="6"/>
  <c r="N201" i="6"/>
  <c r="N209" i="6"/>
  <c r="N217" i="6"/>
  <c r="N225" i="6"/>
  <c r="N233" i="6"/>
  <c r="N241" i="6"/>
  <c r="N7" i="6"/>
  <c r="N15" i="6"/>
  <c r="N23" i="6"/>
  <c r="N31" i="6"/>
  <c r="N39" i="6"/>
  <c r="N47" i="6"/>
  <c r="N55" i="6"/>
  <c r="N63" i="6"/>
  <c r="N71" i="6"/>
  <c r="N79" i="6"/>
  <c r="N87" i="6"/>
  <c r="N95" i="6"/>
  <c r="N103" i="6"/>
  <c r="N111" i="6"/>
  <c r="N119" i="6"/>
  <c r="N127" i="6"/>
  <c r="N135" i="6"/>
  <c r="N143" i="6"/>
  <c r="N151" i="6"/>
  <c r="N159" i="6"/>
  <c r="N167" i="6"/>
  <c r="N175" i="6"/>
  <c r="N183" i="6"/>
  <c r="N191" i="6"/>
  <c r="N199" i="6"/>
  <c r="N207" i="6"/>
  <c r="N215" i="6"/>
  <c r="N223" i="6"/>
  <c r="N231" i="6"/>
  <c r="N239" i="6"/>
  <c r="F22" i="19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CF3E7D4-F859-4F01-9060-30294A02E5E0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43613A41-934C-49B4-841D-070D9102317A}" name="WorksheetConnection_tips!$A$1:$G$244" type="102" refreshedVersion="8" minRefreshableVersion="5">
    <extLst>
      <ext xmlns:x15="http://schemas.microsoft.com/office/spreadsheetml/2010/11/main" uri="{DE250136-89BD-433C-8126-D09CA5730AF9}">
        <x15:connection id="Range" autoDelete="1">
          <x15:rangePr sourceName="_xlcn.WorksheetConnection_tipsA1G2441"/>
        </x15:connection>
      </ext>
    </extLst>
  </connection>
</connections>
</file>

<file path=xl/sharedStrings.xml><?xml version="1.0" encoding="utf-8"?>
<sst xmlns="http://schemas.openxmlformats.org/spreadsheetml/2006/main" count="1904" uniqueCount="491">
  <si>
    <t>sex</t>
  </si>
  <si>
    <t>smoker</t>
  </si>
  <si>
    <t>day</t>
  </si>
  <si>
    <t>time</t>
  </si>
  <si>
    <t>size</t>
  </si>
  <si>
    <t>total_bill</t>
  </si>
  <si>
    <t>tip</t>
  </si>
  <si>
    <t>Female</t>
  </si>
  <si>
    <t>No</t>
  </si>
  <si>
    <t>Sun</t>
  </si>
  <si>
    <t>Dinner</t>
  </si>
  <si>
    <t>Male</t>
  </si>
  <si>
    <t xml:space="preserve">sex </t>
  </si>
  <si>
    <t>Gender of the customer</t>
  </si>
  <si>
    <t>Indicates if the customer is a smoker or not</t>
  </si>
  <si>
    <t>Day of the restaurant visit</t>
  </si>
  <si>
    <t>Indicates whether the tip was for lunch or dinner</t>
  </si>
  <si>
    <t>Number of members dining</t>
  </si>
  <si>
    <t>total bill</t>
  </si>
  <si>
    <t>Bill amount in USD</t>
  </si>
  <si>
    <t>Tip amount in USD</t>
  </si>
  <si>
    <t>Sat</t>
  </si>
  <si>
    <t>Yes</t>
  </si>
  <si>
    <t>Thur</t>
  </si>
  <si>
    <t>Lunch</t>
  </si>
  <si>
    <t>Fri</t>
  </si>
  <si>
    <t>number of records in the dataset</t>
  </si>
  <si>
    <t>missing values</t>
  </si>
  <si>
    <t>duplicate observations</t>
  </si>
  <si>
    <t>percentage of customers are smokers</t>
  </si>
  <si>
    <t>percentage of customers visit during lunch and dinner</t>
  </si>
  <si>
    <t>Row Labels</t>
  </si>
  <si>
    <t>Grand Total</t>
  </si>
  <si>
    <t>Customer Analysis</t>
  </si>
  <si>
    <t>1.average bill amount</t>
  </si>
  <si>
    <t>2.Average tip Amount</t>
  </si>
  <si>
    <t>3Average Tip percentage</t>
  </si>
  <si>
    <t>Gender Analysis</t>
  </si>
  <si>
    <t>1. Do males spend more than females?</t>
  </si>
  <si>
    <t>2. Do males leave larger tips?</t>
  </si>
  <si>
    <t>3. Which gender has a higher tip percentage?</t>
  </si>
  <si>
    <t>Sum of total_bill</t>
  </si>
  <si>
    <t>Sum of tip</t>
  </si>
  <si>
    <t>Smoking Analysis</t>
  </si>
  <si>
    <t>1. Do smokers generate higher bills?</t>
  </si>
  <si>
    <t>2. Do smokers leave larger tips?</t>
  </si>
  <si>
    <t>3. Is the difference statistically significant?</t>
  </si>
  <si>
    <t>Smokers  percentage</t>
  </si>
  <si>
    <t>Count of smoker</t>
  </si>
  <si>
    <t>Smoker</t>
  </si>
  <si>
    <t>Sex</t>
  </si>
  <si>
    <t>Time Analysis</t>
  </si>
  <si>
    <t>1. Does dinner generate more revenue than lunch?</t>
  </si>
  <si>
    <t>2. Does dinner produce higher tips?</t>
  </si>
  <si>
    <t>3. What is the average customer group size during lunch vs dinner?</t>
  </si>
  <si>
    <t>Day Analysis</t>
  </si>
  <si>
    <t xml:space="preserve">percent of amoker </t>
  </si>
  <si>
    <t>Average of size</t>
  </si>
  <si>
    <t>Dinner roduces more revenue $3660.3 while</t>
  </si>
  <si>
    <t xml:space="preserve"> lunch produces $1154.5 of revenue</t>
  </si>
  <si>
    <t>Yes Tips produce by Dinner 546.03$ and during lunch 183.5 $</t>
  </si>
  <si>
    <t>almost simillar</t>
  </si>
  <si>
    <t xml:space="preserve">Lunch </t>
  </si>
  <si>
    <t>Which day generates the highest revenue?</t>
  </si>
  <si>
    <t>Which day generates the highest tips?</t>
  </si>
  <si>
    <t>Which day has the highest average bill?</t>
  </si>
  <si>
    <t>Day</t>
  </si>
  <si>
    <t>Time</t>
  </si>
  <si>
    <t>Average of total_bill</t>
  </si>
  <si>
    <t>Per person Bill</t>
  </si>
  <si>
    <t>Per person tip</t>
  </si>
  <si>
    <t>tip %</t>
  </si>
  <si>
    <t xml:space="preserve">Cust value </t>
  </si>
  <si>
    <t>Question</t>
  </si>
  <si>
    <t>Do smokers and non-smokers tip differently?</t>
  </si>
  <si>
    <t>t-Test: Two-Sample Assuming Unequal Variances</t>
  </si>
  <si>
    <t>Mean</t>
  </si>
  <si>
    <t>Variance</t>
  </si>
  <si>
    <t>Observations</t>
  </si>
  <si>
    <t>Hypothesized Mean Difference</t>
  </si>
  <si>
    <t>df</t>
  </si>
  <si>
    <t>t Stat</t>
  </si>
  <si>
    <t>P(T&lt;=t) one-tail</t>
  </si>
  <si>
    <t>t Critical one-tail</t>
  </si>
  <si>
    <t>P(T&lt;=t) two-tail</t>
  </si>
  <si>
    <t>t Critical two-tail</t>
  </si>
  <si>
    <t>tip by smoker</t>
  </si>
  <si>
    <t>non smokre tip</t>
  </si>
  <si>
    <t>Hypothesis Test: Smoking Status vs Tip Amount</t>
  </si>
  <si>
    <t>A two-sample t-test assuming unequal variances was conducted to determine whether smoking status influences tipping behavior.</t>
  </si>
  <si>
    <r>
      <t xml:space="preserve">Mean tip (Non-Smoker): </t>
    </r>
    <r>
      <rPr>
        <b/>
        <sz val="14"/>
        <color theme="1"/>
        <rFont val="Calibri"/>
        <family val="2"/>
        <scheme val="minor"/>
      </rPr>
      <t>2.99</t>
    </r>
  </si>
  <si>
    <r>
      <t xml:space="preserve">Mean tip (Smoker): </t>
    </r>
    <r>
      <rPr>
        <b/>
        <sz val="14"/>
        <color theme="1"/>
        <rFont val="Calibri"/>
        <family val="2"/>
        <scheme val="minor"/>
      </rPr>
      <t>3.02</t>
    </r>
  </si>
  <si>
    <r>
      <t xml:space="preserve">t-statistic: </t>
    </r>
    <r>
      <rPr>
        <b/>
        <sz val="14"/>
        <color theme="1"/>
        <rFont val="Calibri"/>
        <family val="2"/>
        <scheme val="minor"/>
      </rPr>
      <t>-0.151</t>
    </r>
  </si>
  <si>
    <r>
      <t xml:space="preserve">p-value (two-tailed): </t>
    </r>
    <r>
      <rPr>
        <b/>
        <sz val="14"/>
        <color theme="1"/>
        <rFont val="Calibri"/>
        <family val="2"/>
        <scheme val="minor"/>
      </rPr>
      <t>0.880</t>
    </r>
  </si>
  <si>
    <r>
      <t>Since the p-value (</t>
    </r>
    <r>
      <rPr>
        <b/>
        <sz val="14"/>
        <color theme="1"/>
        <rFont val="Calibri"/>
        <family val="2"/>
        <scheme val="minor"/>
      </rPr>
      <t>0.880</t>
    </r>
    <r>
      <rPr>
        <sz val="14"/>
        <color theme="1"/>
        <rFont val="Calibri"/>
        <family val="2"/>
        <scheme val="minor"/>
      </rPr>
      <t xml:space="preserve">) is greater than the significance level of </t>
    </r>
    <r>
      <rPr>
        <b/>
        <sz val="14"/>
        <color theme="1"/>
        <rFont val="Calibri"/>
        <family val="2"/>
        <scheme val="minor"/>
      </rPr>
      <t>0.05</t>
    </r>
    <r>
      <rPr>
        <sz val="14"/>
        <color theme="1"/>
        <rFont val="Calibri"/>
        <family val="2"/>
        <scheme val="minor"/>
      </rPr>
      <t>, the null hypothesis was not rejected.</t>
    </r>
  </si>
  <si>
    <r>
      <t>Conclusion:</t>
    </r>
    <r>
      <rPr>
        <sz val="14"/>
        <color theme="1"/>
        <rFont val="Calibri"/>
        <family val="2"/>
        <scheme val="minor"/>
      </rPr>
      <t xml:space="preserve"> Smoking status does not appear to have a statistically significant impact on the amount of tip left by customers. The average tipping behavior of smokers and non-smokers is essentially the same.</t>
    </r>
  </si>
  <si>
    <t>H0</t>
  </si>
  <si>
    <t>No significant difference exists.</t>
  </si>
  <si>
    <t>H1</t>
  </si>
  <si>
    <t>A significant difference exists.</t>
  </si>
  <si>
    <t>Hypothesis Test 2</t>
  </si>
  <si>
    <t>Do males and females tip differently?</t>
  </si>
  <si>
    <t>tip by female</t>
  </si>
  <si>
    <t>tip by male</t>
  </si>
  <si>
    <t>Hypothesis Test: Sex vs Tip Amount</t>
  </si>
  <si>
    <r>
      <t xml:space="preserve">Mean tip (Female): </t>
    </r>
    <r>
      <rPr>
        <b/>
        <sz val="14"/>
        <color theme="1"/>
        <rFont val="Calibri"/>
        <family val="2"/>
        <scheme val="minor"/>
      </rPr>
      <t>2.84</t>
    </r>
  </si>
  <si>
    <r>
      <t xml:space="preserve">Mean tip (male): </t>
    </r>
    <r>
      <rPr>
        <b/>
        <sz val="14"/>
        <color theme="1"/>
        <rFont val="Calibri"/>
        <family val="2"/>
        <scheme val="minor"/>
      </rPr>
      <t>3.09</t>
    </r>
  </si>
  <si>
    <t>t-statistic: -1.427</t>
  </si>
  <si>
    <r>
      <t xml:space="preserve">p-value (two-tailed): </t>
    </r>
    <r>
      <rPr>
        <b/>
        <sz val="14"/>
        <color theme="1"/>
        <rFont val="Calibri"/>
        <family val="2"/>
        <scheme val="minor"/>
      </rPr>
      <t>0.155</t>
    </r>
  </si>
  <si>
    <r>
      <t>Since the p-value (</t>
    </r>
    <r>
      <rPr>
        <b/>
        <sz val="14"/>
        <color theme="1"/>
        <rFont val="Calibri"/>
        <family val="2"/>
        <scheme val="minor"/>
      </rPr>
      <t>0.155</t>
    </r>
    <r>
      <rPr>
        <sz val="14"/>
        <color theme="1"/>
        <rFont val="Calibri"/>
        <family val="2"/>
        <scheme val="minor"/>
      </rPr>
      <t xml:space="preserve">) is greater than the significance level of </t>
    </r>
    <r>
      <rPr>
        <b/>
        <sz val="14"/>
        <color theme="1"/>
        <rFont val="Calibri"/>
        <family val="2"/>
        <scheme val="minor"/>
      </rPr>
      <t>0.05</t>
    </r>
    <r>
      <rPr>
        <sz val="14"/>
        <color theme="1"/>
        <rFont val="Calibri"/>
        <family val="2"/>
        <scheme val="minor"/>
      </rPr>
      <t>, the null hypothesis was not rejected.</t>
    </r>
  </si>
  <si>
    <t>A two-sample t-test assuming unequal variances was conducted to determine whether customer Sex influences tipping behavior.</t>
  </si>
  <si>
    <t>Business Insight</t>
  </si>
  <si>
    <t>Customer sex alone is not a reliable predictor of tipping behavior..</t>
  </si>
  <si>
    <t xml:space="preserve"> Restaurant managers should focus on other factors such as total bill amount, party size, dining time, and day of visit,</t>
  </si>
  <si>
    <t xml:space="preserve"> which may have a greater influence on tip amounts</t>
  </si>
  <si>
    <r>
      <t>Conclusion:</t>
    </r>
    <r>
      <rPr>
        <sz val="14"/>
        <color theme="1"/>
        <rFont val="Calibri"/>
        <family val="2"/>
        <scheme val="minor"/>
      </rPr>
      <t xml:space="preserve"> Sex of customer does not appear to have a statistically significant impact on the amount of tip left by customers.</t>
    </r>
  </si>
  <si>
    <t xml:space="preserve"> The analysis did not find sufficient evidence to conclude that males and females differ in their average tipping behavior.</t>
  </si>
  <si>
    <t>Hypothesis Test 3</t>
  </si>
  <si>
    <t>Does dinner produce higher tips than lunch?</t>
  </si>
  <si>
    <t xml:space="preserve"> Lunch tips</t>
  </si>
  <si>
    <t>Dinnertips</t>
  </si>
  <si>
    <t>Hypothesis Test: Time vs Tip Amount</t>
  </si>
  <si>
    <t>A two-sample t-test assuming unequal variances was conducted to determine whether time influences tipping behavior.</t>
  </si>
  <si>
    <t>Mean tip (Lunch): 2.74</t>
  </si>
  <si>
    <t>Mean tip (Dinner): 3.10</t>
  </si>
  <si>
    <t>t-statistic: -1.984</t>
  </si>
  <si>
    <r>
      <t xml:space="preserve">p-value (two-tailed): </t>
    </r>
    <r>
      <rPr>
        <b/>
        <sz val="14"/>
        <color theme="1"/>
        <rFont val="Calibri"/>
        <family val="2"/>
        <scheme val="minor"/>
      </rPr>
      <t>0.049</t>
    </r>
  </si>
  <si>
    <t xml:space="preserve"> The analysis provide sufficient evidence to conclude that dinner and lunch time may influence tipping behaviour.</t>
  </si>
  <si>
    <t>Conclusion:</t>
  </si>
  <si>
    <t>The null hypothesis stated that there is no significant difference in average tip amounts between lunch and dinner customers.</t>
  </si>
  <si>
    <t>Since the p-value 0.049 is less than the significant level of 0.05,the null hypothesis was rejected</t>
  </si>
  <si>
    <t>Customers dining during dinner leave significantly higher tips on average than customers dining during lunch</t>
  </si>
  <si>
    <t xml:space="preserve">Correlation Matrix </t>
  </si>
  <si>
    <t>Key Insights</t>
  </si>
  <si>
    <t xml:space="preserve">2.Party size influences spending </t>
  </si>
  <si>
    <t>larger parties generate Higher bills</t>
  </si>
  <si>
    <t>3.Party size has a weaker direct impact on tip</t>
  </si>
  <si>
    <t>correlation = 0.488</t>
  </si>
  <si>
    <t>Although larger groups leave higher tips,much of this is likely because larger groups</t>
  </si>
  <si>
    <t xml:space="preserve">produce larger bills </t>
  </si>
  <si>
    <t>Phase 6: Predictive Modeling</t>
  </si>
  <si>
    <t>Build:</t>
  </si>
  <si>
    <t>Model 1</t>
  </si>
  <si>
    <t>Tip = f(Total Bill)</t>
  </si>
  <si>
    <t>Model 2</t>
  </si>
  <si>
    <t>Tip = f(Total Bill + Size)</t>
  </si>
  <si>
    <t>Model 3</t>
  </si>
  <si>
    <t>Tip = f(Total Bill + Size + Gender + Day + Time + Smoker)</t>
  </si>
  <si>
    <t>Questions</t>
  </si>
  <si>
    <t>1. Which model performs best?</t>
  </si>
  <si>
    <t>2. Which variables are statistically significant?</t>
  </si>
  <si>
    <t>3. What is the final prediction equation?</t>
  </si>
  <si>
    <t>SUMMARY OUTPUT</t>
  </si>
  <si>
    <t>Regression Statistics</t>
  </si>
  <si>
    <t>Multiple R</t>
  </si>
  <si>
    <t>R Square</t>
  </si>
  <si>
    <t>Adjusted R Square</t>
  </si>
  <si>
    <t>Standard Error</t>
  </si>
  <si>
    <t>ANOVA</t>
  </si>
  <si>
    <t>Regression</t>
  </si>
  <si>
    <t>Residual</t>
  </si>
  <si>
    <t>Total</t>
  </si>
  <si>
    <t>Intercept</t>
  </si>
  <si>
    <t>SS</t>
  </si>
  <si>
    <t>MS</t>
  </si>
  <si>
    <t>F</t>
  </si>
  <si>
    <t>Significance F</t>
  </si>
  <si>
    <t>Coefficients</t>
  </si>
  <si>
    <t>P-value</t>
  </si>
  <si>
    <t>Lower 95%</t>
  </si>
  <si>
    <t>Upper 95%</t>
  </si>
  <si>
    <t>Lower 95.0%</t>
  </si>
  <si>
    <t>Upper 95.0%</t>
  </si>
  <si>
    <t>SECTION 1: Regression Statistics</t>
  </si>
  <si>
    <t>Your output:</t>
  </si>
  <si>
    <t>Metric</t>
  </si>
  <si>
    <t>Value</t>
  </si>
  <si>
    <t xml:space="preserve">Multiple R </t>
  </si>
  <si>
    <t>Measures correlation between Actual tip and predicted tips</t>
  </si>
  <si>
    <t>closer to 1 Better fit</t>
  </si>
  <si>
    <t>0.6846 Moderately strong relationship</t>
  </si>
  <si>
    <t>2.R Square</t>
  </si>
  <si>
    <t xml:space="preserve">R^2 </t>
  </si>
  <si>
    <t>it means 48.67% of variation in tip is explained by your predictors</t>
  </si>
  <si>
    <t>your model eplain about 47% of that beahviour</t>
  </si>
  <si>
    <t xml:space="preserve">the remaining </t>
  </si>
  <si>
    <t>100-47 = 53% by another factors not included in model</t>
  </si>
  <si>
    <t>3.Adjusted Rsquare</t>
  </si>
  <si>
    <t>adjusted R^2 0.4552</t>
  </si>
  <si>
    <t xml:space="preserve">let say we added random variables </t>
  </si>
  <si>
    <t>Hair color</t>
  </si>
  <si>
    <t>Birth month</t>
  </si>
  <si>
    <t>Favorite movies</t>
  </si>
  <si>
    <t>R^2 almost always increases</t>
  </si>
  <si>
    <t>Adusted R^2 always increases</t>
  </si>
  <si>
    <t>Adjusted R^2 penalises useless variables</t>
  </si>
  <si>
    <t>use it for model comparison</t>
  </si>
  <si>
    <t>4.Standard error</t>
  </si>
  <si>
    <t>prediction error</t>
  </si>
  <si>
    <t>Meaning on avg,predicted tips are off by about:
±1.02 
dollars.
Smaller is better.</t>
  </si>
  <si>
    <t>Section 02 Anova table</t>
  </si>
  <si>
    <t>Source</t>
  </si>
  <si>
    <t>Sig F</t>
  </si>
  <si>
    <t>Annova tests H0 or null hypothesis</t>
  </si>
  <si>
    <t>All coeff = 0</t>
  </si>
  <si>
    <t>None of the variables matter</t>
  </si>
  <si>
    <t>F Statistics</t>
  </si>
  <si>
    <t>F = 34.69</t>
  </si>
  <si>
    <t>Large F is good</t>
  </si>
  <si>
    <t>Significance</t>
  </si>
  <si>
    <t>your value 6.27*10^-30</t>
  </si>
  <si>
    <t>P &lt;0.054</t>
  </si>
  <si>
    <t>Reject Null Hypothesis</t>
  </si>
  <si>
    <t>At least one predictor affects Tip.</t>
  </si>
  <si>
    <t xml:space="preserve"> The regression model is significant.</t>
  </si>
  <si>
    <t>SECTION 3: Coefficients Table</t>
  </si>
  <si>
    <t>This is where managers and analysts spend most of their time.</t>
  </si>
  <si>
    <t>Intercept = 0.9489</t>
  </si>
  <si>
    <t>if all variables were 0</t>
  </si>
  <si>
    <t>predicted tip = 0.9489</t>
  </si>
  <si>
    <t>Total bill</t>
  </si>
  <si>
    <t>coef 0.0942</t>
  </si>
  <si>
    <t>p value 1.85*10^-19 &lt; 0.05</t>
  </si>
  <si>
    <t>Null hypothesis rejected</t>
  </si>
  <si>
    <t>total bill affects tip signifcant</t>
  </si>
  <si>
    <t>coeff</t>
  </si>
  <si>
    <t xml:space="preserve">pvalue </t>
  </si>
  <si>
    <t>&gt;0.05</t>
  </si>
  <si>
    <t>null hypothesis is not rejected</t>
  </si>
  <si>
    <t>almost significant</t>
  </si>
  <si>
    <t>Size</t>
  </si>
  <si>
    <t>t stat</t>
  </si>
  <si>
    <t>Coeff</t>
  </si>
  <si>
    <t>p value</t>
  </si>
  <si>
    <t>&lt;0</t>
  </si>
  <si>
    <t>Sex is not significant'</t>
  </si>
  <si>
    <t>Time is not significant</t>
  </si>
  <si>
    <t xml:space="preserve">coeff </t>
  </si>
  <si>
    <t>pvalue</t>
  </si>
  <si>
    <t>day is not significant</t>
  </si>
  <si>
    <t>Confidence Interval</t>
  </si>
  <si>
    <t>Example:</t>
  </si>
  <si>
    <t>Total Bill</t>
  </si>
  <si>
    <t>Lower:</t>
  </si>
  <si>
    <t>0.07540.07540.0754</t>
  </si>
  <si>
    <t>Upper:</t>
  </si>
  <si>
    <t>0.11300.11300.1130</t>
  </si>
  <si>
    <t>Interpretation:</t>
  </si>
  <si>
    <t>We are 95% confident the true coefficient lies between:</t>
  </si>
  <si>
    <t>and</t>
  </si>
  <si>
    <t>How Analysts Read Regression in 30 Seconds</t>
  </si>
  <si>
    <t>Whenever you get a regression output:</t>
  </si>
  <si>
    <t>Step 1</t>
  </si>
  <si>
    <t>Check:</t>
  </si>
  <si>
    <t>If:</t>
  </si>
  <si>
    <t>Model is significant.</t>
  </si>
  <si>
    <t>Your model:</t>
  </si>
  <si>
    <t>✅ Significant</t>
  </si>
  <si>
    <t>Step 2</t>
  </si>
  <si>
    <t>How much variation explained?</t>
  </si>
  <si>
    <t>Step 3</t>
  </si>
  <si>
    <t>Look at each predictor's P-value.</t>
  </si>
  <si>
    <t>Variable</t>
  </si>
  <si>
    <t>Significant?</t>
  </si>
  <si>
    <t>Almost</t>
  </si>
  <si>
    <t>Significance F</t>
  </si>
  <si>
    <t>p&lt;0.05</t>
  </si>
  <si>
    <t>R^2</t>
  </si>
  <si>
    <t xml:space="preserve">45.56% of predicted  tips depend upon total </t>
  </si>
  <si>
    <t>R^2 adjusted</t>
  </si>
  <si>
    <t>Standard error</t>
  </si>
  <si>
    <t>1.352*10^-33</t>
  </si>
  <si>
    <t>&lt;0.05</t>
  </si>
  <si>
    <t xml:space="preserve">Null hypothesis is rejected </t>
  </si>
  <si>
    <t>&gt;2</t>
  </si>
  <si>
    <t xml:space="preserve">Total bill is significant </t>
  </si>
  <si>
    <t xml:space="preserve">therefore regression eqn is </t>
  </si>
  <si>
    <t>0.923+0.105*(total bill)</t>
  </si>
  <si>
    <t xml:space="preserve">predicted eqn </t>
  </si>
  <si>
    <t xml:space="preserve"> R^2</t>
  </si>
  <si>
    <t>F = 105.085</t>
  </si>
  <si>
    <t>F value is large</t>
  </si>
  <si>
    <t>1.7*10^-33&lt;0..05</t>
  </si>
  <si>
    <t>t stat(total bill)</t>
  </si>
  <si>
    <t>t stat(Size)</t>
  </si>
  <si>
    <t xml:space="preserve">intercept </t>
  </si>
  <si>
    <t>therefore regression eqn is :</t>
  </si>
  <si>
    <t>0.672+0.192*(total bill) + 0.963*(Size)</t>
  </si>
  <si>
    <t>RMSE(Root Mean Square Error)</t>
  </si>
  <si>
    <t>Rmse tells us,</t>
  </si>
  <si>
    <t>on average how far are the predicted values are from actual</t>
  </si>
  <si>
    <t>RMSE=(∑(Actual−Predicted)2​/n)^1/2​</t>
  </si>
  <si>
    <t>Relationship with Your Regression Output</t>
  </si>
  <si>
    <t>In Excel Regression Statistics:</t>
  </si>
  <si>
    <t>You had:</t>
  </si>
  <si>
    <t>Standard Error=1.022Standard\ Error = 1.022Standard Error=1.022</t>
  </si>
  <si>
    <t>For regression:</t>
  </si>
  <si>
    <t>RMSE≈StandardErrorRMSE \approx Standard ErrorRMSE≈StandardError</t>
  </si>
  <si>
    <t>Therefore:</t>
  </si>
  <si>
    <t>RMSE≈1.02RMSE \approx 1.02RMSE≈1.02</t>
  </si>
  <si>
    <t>Residual = actual - predicted</t>
  </si>
  <si>
    <t>Axtual tip :</t>
  </si>
  <si>
    <t>predicted tip:</t>
  </si>
  <si>
    <t xml:space="preserve">residual = </t>
  </si>
  <si>
    <t>4.5-3.8=0.70</t>
  </si>
  <si>
    <t>Positive residual means:</t>
  </si>
  <si>
    <t>Customer tipped more than expected.</t>
  </si>
  <si>
    <t>Actual:</t>
  </si>
  <si>
    <t>2.002.002.00</t>
  </si>
  <si>
    <t>Predicted:</t>
  </si>
  <si>
    <t>3.503.503.50</t>
  </si>
  <si>
    <t>Residual:</t>
  </si>
  <si>
    <t>−1.50-1.50−1.50</t>
  </si>
  <si>
    <t>Negative residual means:</t>
  </si>
  <si>
    <t>Customer tipped less than expected.</t>
  </si>
  <si>
    <t>Residual Distsribuiton</t>
  </si>
  <si>
    <t>Residual distribution tells us:</t>
  </si>
  <si>
    <t>How the prediction errors are spread.</t>
  </si>
  <si>
    <t>Good regression models have residuals that:</t>
  </si>
  <si>
    <t>✅ Center around zero</t>
  </si>
  <si>
    <t>✅ Have both positive and negative values</t>
  </si>
  <si>
    <t>✅ Look roughly bell-shaped</t>
  </si>
  <si>
    <t>RESIDUAL OUTPUT</t>
  </si>
  <si>
    <t>Observation</t>
  </si>
  <si>
    <t>Predicted tip</t>
  </si>
  <si>
    <t>Residuals</t>
  </si>
  <si>
    <t>fri</t>
  </si>
  <si>
    <t>thur</t>
  </si>
  <si>
    <t>&lt;1</t>
  </si>
  <si>
    <t>45.09% is actual adjusted values</t>
  </si>
  <si>
    <t>&lt;2</t>
  </si>
  <si>
    <t>&gt;0.06</t>
  </si>
  <si>
    <t>&gt;0.07</t>
  </si>
  <si>
    <t>&gt;0.08</t>
  </si>
  <si>
    <t>null hypothesis not rejected</t>
  </si>
  <si>
    <t>null hypothesis rejected</t>
  </si>
  <si>
    <t>not significant</t>
  </si>
  <si>
    <t>significant</t>
  </si>
  <si>
    <t>moderately significant</t>
  </si>
  <si>
    <t>stronglt significant</t>
  </si>
  <si>
    <t>null hypothesis  rejected</t>
  </si>
  <si>
    <t xml:space="preserve">regression eqn will be: </t>
  </si>
  <si>
    <t>0.174+0.176*(Size)+0.094*(total_bill)</t>
  </si>
  <si>
    <t>The model explains 46.90% of tips  variations in tips</t>
  </si>
  <si>
    <t>This indicates the moderate predictive power</t>
  </si>
  <si>
    <t>After adjustingfor the number of the predictiors ,45.1% of the variation remains explained by the model.</t>
  </si>
  <si>
    <t>Check for overfitting</t>
  </si>
  <si>
    <t>R^2-adj R^2</t>
  </si>
  <si>
    <t>Since R^2 is very close to adjusted R^2,there is little evdence of overfitting</t>
  </si>
  <si>
    <t>Histogram Interpretation</t>
  </si>
  <si>
    <t>The residual histogram is approximately normal distributed and centered around 0</t>
  </si>
  <si>
    <t>This suggests that the normality assumption of linear regression is reasonably satified.</t>
  </si>
  <si>
    <t>Limitation</t>
  </si>
  <si>
    <t>Slight asymmetry and a few extreme residuals indicate the prescence of some prediction error that are not fullt captured</t>
  </si>
  <si>
    <t>RMSE</t>
  </si>
  <si>
    <t>standard error is 1026 and RMSE is 1.007 therefore we can conclude that model predicts tips differ from actual value by about 1$tip unit on average</t>
  </si>
  <si>
    <t xml:space="preserve">RMSE </t>
  </si>
  <si>
    <t>Model explains  46.7% of tips variations.</t>
  </si>
  <si>
    <t>even after adjusting for the number of factors the model still explains 46.24% of tips variations</t>
  </si>
  <si>
    <t>RMSE is 1.009 and standard error is 1.01,</t>
  </si>
  <si>
    <t xml:space="preserve">therefore we can coclude that predicted tips are off by about 1$ per unit average </t>
  </si>
  <si>
    <t>Size is  significant</t>
  </si>
  <si>
    <t xml:space="preserve"> R^2-R^2 Adjusted</t>
  </si>
  <si>
    <t>since residual histogram is approximately normally distributed around 0</t>
  </si>
  <si>
    <t>This suggests that normality assumption for linear regression is reaonable</t>
  </si>
  <si>
    <t>Limitation:</t>
  </si>
  <si>
    <t>Histogram interpretation :</t>
  </si>
  <si>
    <t>Check for Overfitting</t>
  </si>
  <si>
    <t>R^2-R^2 adjusted</t>
  </si>
  <si>
    <t>Therefor there is a very little evidence of overfitting</t>
  </si>
  <si>
    <t xml:space="preserve">this model explains 45.6% of tips behaviour </t>
  </si>
  <si>
    <t>Even after considering the nu,ber of predcitors,model still explains 45.365% if tips behaiour</t>
  </si>
  <si>
    <t>MSME</t>
  </si>
  <si>
    <t xml:space="preserve">Since MSME is 1.02 and Standard error is also 1.02,we can conclude that </t>
  </si>
  <si>
    <t>predcited tips are of by about 1$ per ubit average customer</t>
  </si>
  <si>
    <t>greater the F better the model</t>
  </si>
  <si>
    <t xml:space="preserve">Histogram prediction </t>
  </si>
  <si>
    <t>Histogram is approximately normally distributed around  and centered around 0</t>
  </si>
  <si>
    <t>we can conclude that normality distribution for liner regression is reaonable</t>
  </si>
  <si>
    <t xml:space="preserve">Limitation </t>
  </si>
  <si>
    <t xml:space="preserve"> slight asymmetry and a few extreme residuals indicate the prescnec of some prediction error that are not full captured</t>
  </si>
  <si>
    <t>KPI cards</t>
  </si>
  <si>
    <t>Restarunt tips and customer Behaviuor Analysis DashBoard</t>
  </si>
  <si>
    <t>Total revenue</t>
  </si>
  <si>
    <t>Total tips</t>
  </si>
  <si>
    <t>Average bill</t>
  </si>
  <si>
    <t>AverageTIp%</t>
  </si>
  <si>
    <t>highest revenue day</t>
  </si>
  <si>
    <t>revenue</t>
  </si>
  <si>
    <t>Segment</t>
  </si>
  <si>
    <t>Count of cutomers</t>
  </si>
  <si>
    <t>Avg Bill</t>
  </si>
  <si>
    <t>Avg Tip</t>
  </si>
  <si>
    <t>Avg Tip%</t>
  </si>
  <si>
    <t>Low</t>
  </si>
  <si>
    <t>Medium</t>
  </si>
  <si>
    <t>High</t>
  </si>
  <si>
    <t>Premium</t>
  </si>
  <si>
    <t>Range</t>
  </si>
  <si>
    <t>&lt;15$</t>
  </si>
  <si>
    <t>15$-25$</t>
  </si>
  <si>
    <t>26$-35$</t>
  </si>
  <si>
    <t>&gt;35$</t>
  </si>
  <si>
    <t>Customer Segment %</t>
  </si>
  <si>
    <t>customer segment</t>
  </si>
  <si>
    <t>Smoker Yes</t>
  </si>
  <si>
    <t>smoker No</t>
  </si>
  <si>
    <t>1. Total Bill,Per person bill and Per person tip are the strongest predictors of Tip</t>
  </si>
  <si>
    <t>Correlation  between tip and total Bill = 0.675</t>
  </si>
  <si>
    <t>tip and Bill per person</t>
  </si>
  <si>
    <t>Tip and tip per person</t>
  </si>
  <si>
    <t>customers who spends more,have higher Bill per person  usually tips more</t>
  </si>
  <si>
    <t>Dinner has moderate relation with sat and sun 0.460 and 0.4162 respectively</t>
  </si>
  <si>
    <t>Tip/total bill</t>
  </si>
  <si>
    <t>Tip %</t>
  </si>
  <si>
    <t>per person bill</t>
  </si>
  <si>
    <t>Total bill/size</t>
  </si>
  <si>
    <t>per sperson tip</t>
  </si>
  <si>
    <t>tip/size</t>
  </si>
  <si>
    <t>Business Recomnedations</t>
  </si>
  <si>
    <t>Since Smoking doesn’t affects the tip</t>
  </si>
  <si>
    <t>Waiters should focus on other things like food Quality,personal experience,food recommmendaions etc</t>
  </si>
  <si>
    <t xml:space="preserve">Business recommnedarion </t>
  </si>
  <si>
    <t>Assign senior waitsatff during dinner time</t>
  </si>
  <si>
    <t>Model3</t>
  </si>
  <si>
    <t>Model2</t>
  </si>
  <si>
    <t>RSME</t>
  </si>
  <si>
    <t>RMSE and standard error for model 1,model2 and model3 are almost same</t>
  </si>
  <si>
    <t xml:space="preserve">in model 2 adjusted R^2 is 0.4667 largest among 3 </t>
  </si>
  <si>
    <t xml:space="preserve">Model 2 is best </t>
  </si>
  <si>
    <t xml:space="preserve">Size and total bill explains customer behaviour in best way  </t>
  </si>
  <si>
    <t>Conclusion'</t>
  </si>
  <si>
    <t>Executive summary</t>
  </si>
  <si>
    <t>Key Findings</t>
  </si>
  <si>
    <t>1. Total Bill is strongest predictor of Tip (r = 0.675)</t>
  </si>
  <si>
    <t>2. Dinner customers tip more than lunch customers</t>
  </si>
  <si>
    <t>3. Saturday generates highest revenue</t>
  </si>
  <si>
    <t>Recommendation</t>
  </si>
  <si>
    <t>total revenue</t>
  </si>
  <si>
    <t>4.medium segment  customers are  around 45% of total customer and contribute around 43% of total revenue</t>
  </si>
  <si>
    <t>Tips</t>
  </si>
  <si>
    <t>medium range customers make upto 45% of total customers,45% of revenue also 45 of tips overa;all tips collection</t>
  </si>
  <si>
    <t>% revenue contribution</t>
  </si>
  <si>
    <t>% tips contribution</t>
  </si>
  <si>
    <t xml:space="preserve">2. Premium customers </t>
  </si>
  <si>
    <t>Average bill 4.22$ average tip 5.11$</t>
  </si>
  <si>
    <t xml:space="preserve">Make about 7% of total customers,12% of total  revenue and 11% of total tips </t>
  </si>
  <si>
    <t>conclusion</t>
  </si>
  <si>
    <t>3.Saturday and Sunday are most busy days SO more staff are required for those days.</t>
  </si>
  <si>
    <t>4. Smokers tip more</t>
  </si>
  <si>
    <t>Average tip  per smoker customer</t>
  </si>
  <si>
    <t>Average of tip</t>
  </si>
  <si>
    <t>Total Revenue smoker customer</t>
  </si>
  <si>
    <t>Total Revenue  non smoker customer</t>
  </si>
  <si>
    <t>Average Revenue  smoker customer</t>
  </si>
  <si>
    <t>Average tip  per non smoker cusomer</t>
  </si>
  <si>
    <t>Average % tip</t>
  </si>
  <si>
    <t>Count of size</t>
  </si>
  <si>
    <t>Total Customers Visit</t>
  </si>
  <si>
    <t>Saturday has the highest customer volume</t>
  </si>
  <si>
    <t>DAY</t>
  </si>
  <si>
    <t>In this table we can see some intresting facts</t>
  </si>
  <si>
    <t>on sat and sun all customers visit Only during zDinnner</t>
  </si>
  <si>
    <t xml:space="preserve">Meanwhile out of all customers visit restaurant </t>
  </si>
  <si>
    <t xml:space="preserve">on thur </t>
  </si>
  <si>
    <t>98.36% visted during lunch</t>
  </si>
  <si>
    <t>during Dinner</t>
  </si>
  <si>
    <t>On fri 63.16% visted during lunch and remaining 36.84%</t>
  </si>
  <si>
    <t>Tip Is independent of gender</t>
  </si>
  <si>
    <t>% Tip</t>
  </si>
  <si>
    <t>Bill Per person</t>
  </si>
  <si>
    <t>non smokers give preovide more revenue to restaurant But</t>
  </si>
  <si>
    <t xml:space="preserve">Bill per customer for smoker and non smoker is almost equal </t>
  </si>
  <si>
    <t xml:space="preserve">simillarly smoker and non smokers tip almost equally </t>
  </si>
  <si>
    <t xml:space="preserve">4. On sat and sun customers vistited rest only during dinner </t>
  </si>
  <si>
    <t xml:space="preserve">5.On thur about 98% of customers visit were during Lunch time </t>
  </si>
  <si>
    <t xml:space="preserve">6.Smoking is not statistically significant </t>
  </si>
  <si>
    <t xml:space="preserve">Because smoker and non smokers Produce almost equal bills per customer and also they tip almost equally </t>
  </si>
  <si>
    <t>7 Gender has no significant impact</t>
  </si>
  <si>
    <t>food,waiter and overall experience.</t>
  </si>
  <si>
    <t xml:space="preserve">5 Medium range segment provide 45% of total tips </t>
  </si>
  <si>
    <t xml:space="preserve">1. medium range customers.These </t>
  </si>
  <si>
    <t>Total tip</t>
  </si>
  <si>
    <t>Tip % of total bill</t>
  </si>
  <si>
    <t>Count by Sex</t>
  </si>
  <si>
    <t>Per person Bill By Gnder</t>
  </si>
  <si>
    <t>Tip By Gender</t>
  </si>
  <si>
    <t xml:space="preserve">8. Total Bill is statistically significant and </t>
  </si>
  <si>
    <t xml:space="preserve">1.Model 3 and correlation tables suggests that data is insufficient so staff should ask for customers to rate </t>
  </si>
  <si>
    <t>2.assign experienced staff for dinner and increase staff on weekends especially during Dinner on weekends and lunch on thur</t>
  </si>
  <si>
    <t>3.prirot premium and high paying customers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</si>
</sst>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0.0"/>
  </numFmts>
  <fonts count="2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sz val="13.65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8"/>
      <name val="Calibri"/>
      <family val="2"/>
      <scheme val="minor"/>
    </font>
    <font>
      <b/>
      <u/>
      <sz val="24"/>
      <color theme="2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20"/>
      <color theme="0"/>
      <name val="Calibri"/>
      <family val="2"/>
      <scheme val="minor"/>
    </font>
    <font>
      <sz val="16"/>
      <color theme="0"/>
      <name val="Calibri"/>
      <family val="2"/>
      <scheme val="minor"/>
    </font>
    <font>
      <b/>
      <sz val="18"/>
      <color theme="0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22"/>
      <color theme="2"/>
      <name val="Calibri"/>
      <family val="2"/>
      <scheme val="minor"/>
    </font>
    <font>
      <b/>
      <u/>
      <sz val="28"/>
      <color theme="2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 tint="0.39997558519241921"/>
        <bgColor theme="5" tint="-0.249977111117893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theme="5" tint="-0.249977111117893"/>
      </patternFill>
    </fill>
    <fill>
      <patternFill patternType="solid">
        <fgColor theme="0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theme="4" tint="0.3999755851924192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theme="4" tint="0.39997558519241921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theme="4" tint="0.39997558519241921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theme="4" tint="0.39997558519241921"/>
      </left>
      <right/>
      <top/>
      <bottom style="thin">
        <color theme="4" tint="0.39997558519241921"/>
      </bottom>
      <diagonal/>
    </border>
    <border>
      <left/>
      <right style="thin">
        <color theme="4" tint="0.39997558519241921"/>
      </right>
      <top/>
      <bottom style="thin">
        <color theme="4" tint="0.39997558519241921"/>
      </bottom>
      <diagonal/>
    </border>
    <border>
      <left/>
      <right style="thin">
        <color theme="4" tint="0.39997558519241921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19">
    <xf numFmtId="0" fontId="0" fillId="0" borderId="0" xfId="0"/>
    <xf numFmtId="0" fontId="0" fillId="0" borderId="1" xfId="0" applyBorder="1"/>
    <xf numFmtId="9" fontId="0" fillId="0" borderId="0" xfId="1" applyFont="1"/>
    <xf numFmtId="0" fontId="2" fillId="2" borderId="2" xfId="0" applyFont="1" applyFill="1" applyBorder="1"/>
    <xf numFmtId="0" fontId="0" fillId="0" borderId="0" xfId="0" pivotButton="1"/>
    <xf numFmtId="0" fontId="0" fillId="0" borderId="0" xfId="0" applyAlignment="1">
      <alignment horizontal="left"/>
    </xf>
    <xf numFmtId="0" fontId="3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0" fontId="0" fillId="0" borderId="3" xfId="0" applyBorder="1"/>
    <xf numFmtId="9" fontId="0" fillId="0" borderId="3" xfId="1" applyFont="1" applyBorder="1"/>
    <xf numFmtId="10" fontId="0" fillId="0" borderId="0" xfId="0" applyNumberFormat="1"/>
    <xf numFmtId="2" fontId="0" fillId="0" borderId="0" xfId="0" applyNumberFormat="1"/>
    <xf numFmtId="164" fontId="0" fillId="0" borderId="0" xfId="1" applyNumberFormat="1" applyFont="1"/>
    <xf numFmtId="0" fontId="4" fillId="0" borderId="0" xfId="0" applyFont="1" applyAlignment="1">
      <alignment vertical="center"/>
    </xf>
    <xf numFmtId="0" fontId="5" fillId="0" borderId="0" xfId="0" applyFont="1"/>
    <xf numFmtId="0" fontId="6" fillId="0" borderId="0" xfId="0" applyFont="1" applyAlignment="1">
      <alignment vertical="center"/>
    </xf>
    <xf numFmtId="0" fontId="0" fillId="0" borderId="4" xfId="0" applyBorder="1"/>
    <xf numFmtId="0" fontId="7" fillId="0" borderId="5" xfId="0" applyFont="1" applyBorder="1" applyAlignment="1">
      <alignment horizontal="center"/>
    </xf>
    <xf numFmtId="0" fontId="5" fillId="0" borderId="0" xfId="0" applyFont="1" applyAlignment="1">
      <alignment horizontal="left" vertical="center" indent="1"/>
    </xf>
    <xf numFmtId="0" fontId="8" fillId="0" borderId="0" xfId="0" applyFont="1"/>
    <xf numFmtId="0" fontId="9" fillId="0" borderId="0" xfId="0" applyFont="1" applyAlignment="1">
      <alignment vertical="center"/>
    </xf>
    <xf numFmtId="0" fontId="6" fillId="0" borderId="0" xfId="0" applyFont="1"/>
    <xf numFmtId="0" fontId="10" fillId="0" borderId="0" xfId="0" applyFont="1" applyAlignment="1">
      <alignment vertical="center"/>
    </xf>
    <xf numFmtId="0" fontId="0" fillId="0" borderId="0" xfId="0" applyAlignment="1">
      <alignment vertical="center"/>
    </xf>
    <xf numFmtId="0" fontId="11" fillId="0" borderId="0" xfId="0" applyFont="1" applyAlignment="1">
      <alignment vertical="center"/>
    </xf>
    <xf numFmtId="0" fontId="7" fillId="0" borderId="5" xfId="0" applyFont="1" applyBorder="1" applyAlignment="1">
      <alignment horizontal="centerContinuous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0" applyFont="1" applyAlignment="1">
      <alignment horizontal="center" vertical="center"/>
    </xf>
    <xf numFmtId="11" fontId="0" fillId="0" borderId="0" xfId="0" applyNumberFormat="1" applyAlignment="1">
      <alignment vertical="center" wrapText="1"/>
    </xf>
    <xf numFmtId="0" fontId="12" fillId="0" borderId="0" xfId="0" applyFont="1"/>
    <xf numFmtId="0" fontId="2" fillId="0" borderId="0" xfId="0" applyFont="1" applyAlignment="1">
      <alignment vertical="center"/>
    </xf>
    <xf numFmtId="0" fontId="13" fillId="0" borderId="0" xfId="0" applyFont="1"/>
    <xf numFmtId="0" fontId="9" fillId="0" borderId="0" xfId="0" applyFont="1"/>
    <xf numFmtId="2" fontId="0" fillId="0" borderId="4" xfId="0" applyNumberFormat="1" applyBorder="1"/>
    <xf numFmtId="2" fontId="7" fillId="0" borderId="5" xfId="0" applyNumberFormat="1" applyFont="1" applyBorder="1" applyAlignment="1">
      <alignment horizontal="center"/>
    </xf>
    <xf numFmtId="0" fontId="2" fillId="0" borderId="0" xfId="0" applyFont="1"/>
    <xf numFmtId="0" fontId="0" fillId="3" borderId="0" xfId="0" applyFill="1"/>
    <xf numFmtId="0" fontId="13" fillId="3" borderId="0" xfId="0" applyFont="1" applyFill="1"/>
    <xf numFmtId="0" fontId="17" fillId="5" borderId="6" xfId="0" applyFont="1" applyFill="1" applyBorder="1" applyAlignment="1">
      <alignment horizontal="center"/>
    </xf>
    <xf numFmtId="0" fontId="17" fillId="5" borderId="0" xfId="0" applyFont="1" applyFill="1" applyAlignment="1">
      <alignment horizontal="center"/>
    </xf>
    <xf numFmtId="0" fontId="8" fillId="7" borderId="0" xfId="0" applyFont="1" applyFill="1"/>
    <xf numFmtId="0" fontId="7" fillId="8" borderId="7" xfId="0" applyFont="1" applyFill="1" applyBorder="1" applyAlignment="1">
      <alignment horizontal="center"/>
    </xf>
    <xf numFmtId="0" fontId="0" fillId="9" borderId="0" xfId="0" applyFill="1"/>
    <xf numFmtId="0" fontId="0" fillId="0" borderId="8" xfId="0" applyBorder="1"/>
    <xf numFmtId="0" fontId="20" fillId="0" borderId="0" xfId="0" pivotButton="1" applyFont="1"/>
    <xf numFmtId="0" fontId="20" fillId="0" borderId="0" xfId="0" applyFont="1"/>
    <xf numFmtId="0" fontId="20" fillId="0" borderId="0" xfId="0" applyFont="1" applyAlignment="1">
      <alignment horizontal="left"/>
    </xf>
    <xf numFmtId="0" fontId="19" fillId="6" borderId="11" xfId="0" applyFont="1" applyFill="1" applyBorder="1"/>
    <xf numFmtId="0" fontId="19" fillId="6" borderId="12" xfId="0" applyFont="1" applyFill="1" applyBorder="1"/>
    <xf numFmtId="0" fontId="20" fillId="0" borderId="0" xfId="0" applyFont="1" applyAlignment="1">
      <alignment horizontal="center" vertical="center"/>
    </xf>
    <xf numFmtId="0" fontId="20" fillId="3" borderId="0" xfId="0" applyFont="1" applyFill="1"/>
    <xf numFmtId="0" fontId="6" fillId="2" borderId="2" xfId="0" applyFont="1" applyFill="1" applyBorder="1"/>
    <xf numFmtId="2" fontId="20" fillId="0" borderId="0" xfId="0" applyNumberFormat="1" applyFont="1" applyAlignment="1">
      <alignment horizontal="left" indent="5"/>
    </xf>
    <xf numFmtId="9" fontId="20" fillId="0" borderId="0" xfId="1" applyFont="1" applyAlignment="1">
      <alignment horizontal="left" indent="5"/>
    </xf>
    <xf numFmtId="0" fontId="20" fillId="0" borderId="16" xfId="0" applyFont="1" applyBorder="1"/>
    <xf numFmtId="0" fontId="20" fillId="0" borderId="17" xfId="0" applyFont="1" applyBorder="1"/>
    <xf numFmtId="0" fontId="20" fillId="0" borderId="16" xfId="0" pivotButton="1" applyFont="1" applyBorder="1"/>
    <xf numFmtId="0" fontId="20" fillId="0" borderId="18" xfId="0" applyFont="1" applyBorder="1" applyAlignment="1">
      <alignment horizontal="left"/>
    </xf>
    <xf numFmtId="0" fontId="20" fillId="0" borderId="4" xfId="0" applyFont="1" applyBorder="1"/>
    <xf numFmtId="0" fontId="20" fillId="0" borderId="19" xfId="0" applyFont="1" applyBorder="1"/>
    <xf numFmtId="165" fontId="20" fillId="0" borderId="0" xfId="0" applyNumberFormat="1" applyFont="1"/>
    <xf numFmtId="2" fontId="20" fillId="0" borderId="0" xfId="0" applyNumberFormat="1" applyFont="1"/>
    <xf numFmtId="2" fontId="20" fillId="0" borderId="4" xfId="0" applyNumberFormat="1" applyFont="1" applyBorder="1"/>
    <xf numFmtId="0" fontId="13" fillId="13" borderId="9" xfId="0" applyFont="1" applyFill="1" applyBorder="1"/>
    <xf numFmtId="9" fontId="13" fillId="13" borderId="9" xfId="1" applyFont="1" applyFill="1" applyBorder="1"/>
    <xf numFmtId="2" fontId="13" fillId="13" borderId="9" xfId="0" applyNumberFormat="1" applyFont="1" applyFill="1" applyBorder="1"/>
    <xf numFmtId="2" fontId="13" fillId="13" borderId="9" xfId="1" applyNumberFormat="1" applyFont="1" applyFill="1" applyBorder="1"/>
    <xf numFmtId="9" fontId="13" fillId="13" borderId="7" xfId="1" applyFont="1" applyFill="1" applyBorder="1"/>
    <xf numFmtId="2" fontId="13" fillId="13" borderId="7" xfId="1" applyNumberFormat="1" applyFont="1" applyFill="1" applyBorder="1"/>
    <xf numFmtId="0" fontId="16" fillId="5" borderId="14" xfId="0" applyFont="1" applyFill="1" applyBorder="1"/>
    <xf numFmtId="0" fontId="16" fillId="5" borderId="20" xfId="0" applyFont="1" applyFill="1" applyBorder="1"/>
    <xf numFmtId="0" fontId="2" fillId="3" borderId="22" xfId="0" applyFont="1" applyFill="1" applyBorder="1"/>
    <xf numFmtId="0" fontId="2" fillId="3" borderId="2" xfId="0" applyFont="1" applyFill="1" applyBorder="1"/>
    <xf numFmtId="9" fontId="2" fillId="3" borderId="2" xfId="0" applyNumberFormat="1" applyFont="1" applyFill="1" applyBorder="1"/>
    <xf numFmtId="0" fontId="2" fillId="3" borderId="23" xfId="0" applyFont="1" applyFill="1" applyBorder="1"/>
    <xf numFmtId="0" fontId="16" fillId="5" borderId="13" xfId="0" applyFont="1" applyFill="1" applyBorder="1"/>
    <xf numFmtId="0" fontId="16" fillId="5" borderId="13" xfId="0" applyFont="1" applyFill="1" applyBorder="1" applyAlignment="1">
      <alignment wrapText="1"/>
    </xf>
    <xf numFmtId="2" fontId="16" fillId="5" borderId="13" xfId="0" applyNumberFormat="1" applyFont="1" applyFill="1" applyBorder="1"/>
    <xf numFmtId="0" fontId="16" fillId="5" borderId="24" xfId="0" applyFont="1" applyFill="1" applyBorder="1"/>
    <xf numFmtId="0" fontId="16" fillId="5" borderId="24" xfId="0" applyFont="1" applyFill="1" applyBorder="1" applyAlignment="1">
      <alignment wrapText="1"/>
    </xf>
    <xf numFmtId="2" fontId="16" fillId="5" borderId="24" xfId="0" applyNumberFormat="1" applyFont="1" applyFill="1" applyBorder="1"/>
    <xf numFmtId="0" fontId="16" fillId="5" borderId="15" xfId="0" applyFont="1" applyFill="1" applyBorder="1" applyAlignment="1">
      <alignment wrapText="1"/>
    </xf>
    <xf numFmtId="0" fontId="13" fillId="13" borderId="25" xfId="0" applyFont="1" applyFill="1" applyBorder="1"/>
    <xf numFmtId="9" fontId="13" fillId="13" borderId="26" xfId="1" applyFont="1" applyFill="1" applyBorder="1"/>
    <xf numFmtId="0" fontId="13" fillId="13" borderId="27" xfId="0" applyFont="1" applyFill="1" applyBorder="1"/>
    <xf numFmtId="0" fontId="13" fillId="13" borderId="28" xfId="0" applyFont="1" applyFill="1" applyBorder="1"/>
    <xf numFmtId="9" fontId="13" fillId="13" borderId="28" xfId="1" applyFont="1" applyFill="1" applyBorder="1"/>
    <xf numFmtId="2" fontId="13" fillId="13" borderId="28" xfId="0" applyNumberFormat="1" applyFont="1" applyFill="1" applyBorder="1"/>
    <xf numFmtId="2" fontId="13" fillId="13" borderId="28" xfId="1" applyNumberFormat="1" applyFont="1" applyFill="1" applyBorder="1"/>
    <xf numFmtId="9" fontId="13" fillId="13" borderId="29" xfId="1" applyFont="1" applyFill="1" applyBorder="1"/>
    <xf numFmtId="2" fontId="13" fillId="13" borderId="29" xfId="1" applyNumberFormat="1" applyFont="1" applyFill="1" applyBorder="1"/>
    <xf numFmtId="9" fontId="13" fillId="13" borderId="21" xfId="1" applyFont="1" applyFill="1" applyBorder="1"/>
    <xf numFmtId="0" fontId="19" fillId="6" borderId="12" xfId="0" applyFont="1" applyFill="1" applyBorder="1" applyAlignment="1">
      <alignment wrapText="1"/>
    </xf>
    <xf numFmtId="0" fontId="19" fillId="6" borderId="12" xfId="0" applyFont="1" applyFill="1" applyBorder="1" applyAlignment="1">
      <alignment horizontal="center"/>
    </xf>
    <xf numFmtId="0" fontId="6" fillId="2" borderId="2" xfId="0" applyFont="1" applyFill="1" applyBorder="1" applyAlignment="1">
      <alignment wrapText="1"/>
    </xf>
    <xf numFmtId="0" fontId="13" fillId="12" borderId="30" xfId="0" applyFont="1" applyFill="1" applyBorder="1"/>
    <xf numFmtId="0" fontId="13" fillId="12" borderId="31" xfId="0" applyFont="1" applyFill="1" applyBorder="1"/>
    <xf numFmtId="0" fontId="13" fillId="12" borderId="32" xfId="0" applyFont="1" applyFill="1" applyBorder="1"/>
    <xf numFmtId="0" fontId="18" fillId="10" borderId="10" xfId="0" applyFont="1" applyFill="1" applyBorder="1"/>
    <xf numFmtId="0" fontId="13" fillId="12" borderId="30" xfId="0" applyFont="1" applyFill="1" applyBorder="1" applyAlignment="1">
      <alignment horizontal="left"/>
    </xf>
    <xf numFmtId="0" fontId="13" fillId="12" borderId="31" xfId="0" applyFont="1" applyFill="1" applyBorder="1" applyAlignment="1">
      <alignment horizontal="left"/>
    </xf>
    <xf numFmtId="0" fontId="13" fillId="12" borderId="32" xfId="0" applyFont="1" applyFill="1" applyBorder="1" applyAlignment="1">
      <alignment horizontal="left"/>
    </xf>
    <xf numFmtId="0" fontId="0" fillId="0" borderId="0" xfId="0" applyAlignment="1">
      <alignment horizontal="center"/>
    </xf>
    <xf numFmtId="0" fontId="0" fillId="0" borderId="4" xfId="0" applyBorder="1" applyAlignment="1">
      <alignment horizontal="center"/>
    </xf>
    <xf numFmtId="0" fontId="6" fillId="11" borderId="14" xfId="0" applyFont="1" applyFill="1" applyBorder="1" applyAlignment="1">
      <alignment horizontal="center"/>
    </xf>
    <xf numFmtId="0" fontId="6" fillId="11" borderId="13" xfId="0" applyFont="1" applyFill="1" applyBorder="1" applyAlignment="1">
      <alignment horizontal="center"/>
    </xf>
    <xf numFmtId="0" fontId="6" fillId="11" borderId="15" xfId="0" applyFont="1" applyFill="1" applyBorder="1" applyAlignment="1">
      <alignment horizontal="center"/>
    </xf>
    <xf numFmtId="0" fontId="15" fillId="4" borderId="0" xfId="0" applyFont="1" applyFill="1" applyAlignment="1">
      <alignment horizontal="center"/>
    </xf>
    <xf numFmtId="0" fontId="22" fillId="4" borderId="0" xfId="0" applyFont="1" applyFill="1" applyAlignment="1">
      <alignment horizontal="center"/>
    </xf>
    <xf numFmtId="0" fontId="21" fillId="5" borderId="0" xfId="0" applyFont="1" applyFill="1" applyAlignment="1">
      <alignment horizontal="center"/>
    </xf>
    <xf numFmtId="0" fontId="0" fillId="0" borderId="0" xfId="0" applyNumberFormat="1"/>
    <xf numFmtId="0" fontId="0" fillId="0" borderId="0" xfId="0" applyAlignment="1">
      <alignment horizontal="left" indent="1"/>
    </xf>
    <xf numFmtId="0" fontId="5" fillId="0" borderId="0" xfId="0" pivotButton="1" applyFont="1"/>
    <xf numFmtId="0" fontId="5" fillId="0" borderId="0" xfId="0" applyFont="1" applyAlignment="1">
      <alignment horizontal="left"/>
    </xf>
    <xf numFmtId="0" fontId="5" fillId="0" borderId="0" xfId="0" applyNumberFormat="1" applyFont="1"/>
    <xf numFmtId="0" fontId="5" fillId="0" borderId="0" xfId="0" applyFont="1" applyAlignment="1">
      <alignment horizontal="left" indent="1"/>
    </xf>
    <xf numFmtId="10" fontId="5" fillId="0" borderId="0" xfId="0" applyNumberFormat="1" applyFont="1"/>
    <xf numFmtId="0" fontId="2" fillId="2" borderId="2" xfId="0" applyFont="1" applyFill="1" applyBorder="1" applyAlignment="1">
      <alignment wrapText="1"/>
    </xf>
  </cellXfs>
  <cellStyles count="2">
    <cellStyle name="Normal" xfId="0" builtinId="0"/>
    <cellStyle name="Percent" xfId="1" builtinId="5"/>
  </cellStyles>
  <dxfs count="167">
    <dxf>
      <font>
        <b/>
      </font>
      <fill>
        <patternFill patternType="solid">
          <fgColor theme="4" tint="0.79998168889431442"/>
          <bgColor theme="4" tint="0.79998168889431442"/>
        </patternFill>
      </fill>
      <alignment wrapText="1"/>
    </dxf>
    <dxf>
      <font>
        <b/>
      </font>
      <fill>
        <patternFill patternType="solid">
          <fgColor theme="4" tint="0.79998168889431442"/>
          <bgColor theme="4" tint="0.79998168889431442"/>
        </patternFill>
      </fill>
      <alignment wrapText="1"/>
    </dxf>
    <dxf>
      <font>
        <b/>
      </font>
      <fill>
        <patternFill patternType="solid">
          <fgColor theme="4" tint="0.79998168889431442"/>
          <bgColor theme="4" tint="0.79998168889431442"/>
        </patternFill>
      </fill>
      <alignment wrapText="1"/>
    </dxf>
    <dxf>
      <font>
        <b/>
      </font>
      <fill>
        <patternFill patternType="solid">
          <fgColor theme="4" tint="0.79998168889431442"/>
          <bgColor theme="4" tint="0.79998168889431442"/>
        </patternFill>
      </fill>
      <alignment wrapText="1"/>
    </dxf>
    <dxf>
      <fill>
        <patternFill>
          <bgColor theme="7" tint="0.79998168889431442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numFmt numFmtId="14" formatCode="0.00%"/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alignment wrapText="1"/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numFmt numFmtId="2" formatCode="0.00"/>
    </dxf>
    <dxf>
      <font>
        <sz val="18"/>
      </font>
    </dxf>
    <dxf>
      <font>
        <sz val="18"/>
      </font>
    </dxf>
    <dxf>
      <font>
        <sz val="18"/>
      </font>
    </dxf>
    <dxf>
      <alignment horizontal="center"/>
    </dxf>
    <dxf>
      <alignment vertical="center"/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18"/>
      </font>
    </dxf>
    <dxf>
      <font>
        <sz val="18"/>
      </font>
    </dxf>
    <dxf>
      <font>
        <sz val="18"/>
      </font>
    </dxf>
    <dxf>
      <font>
        <sz val="18"/>
      </font>
    </dxf>
    <dxf>
      <font>
        <sz val="18"/>
      </font>
    </dxf>
    <dxf>
      <border>
        <left style="medium">
          <color indexed="64"/>
        </left>
        <right style="medium">
          <color indexed="64"/>
        </right>
      </border>
    </dxf>
    <dxf>
      <border>
        <left style="medium">
          <color indexed="64"/>
        </left>
        <right style="medium">
          <color indexed="64"/>
        </right>
      </border>
    </dxf>
    <dxf>
      <border>
        <left style="medium">
          <color indexed="64"/>
        </left>
        <right style="medium">
          <color indexed="64"/>
        </right>
      </border>
    </dxf>
    <dxf>
      <border>
        <left style="medium">
          <color indexed="64"/>
        </left>
        <right style="medium">
          <color indexed="64"/>
        </right>
      </border>
    </dxf>
    <dxf>
      <border>
        <left style="medium">
          <color indexed="64"/>
        </left>
        <right style="medium">
          <color indexed="64"/>
        </right>
      </border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18"/>
      </font>
    </dxf>
    <dxf>
      <font>
        <sz val="18"/>
      </font>
    </dxf>
    <dxf>
      <font>
        <sz val="18"/>
      </font>
    </dxf>
    <dxf>
      <font>
        <sz val="18"/>
      </font>
    </dxf>
    <dxf>
      <font>
        <sz val="18"/>
      </font>
    </dxf>
    <dxf>
      <numFmt numFmtId="165" formatCode="0.0"/>
    </dxf>
    <dxf>
      <font>
        <sz val="22"/>
      </font>
    </dxf>
    <dxf>
      <font>
        <sz val="22"/>
      </font>
    </dxf>
    <dxf>
      <font>
        <sz val="22"/>
      </font>
    </dxf>
    <dxf>
      <font>
        <sz val="18"/>
      </font>
    </dxf>
    <dxf>
      <font>
        <sz val="18"/>
      </font>
    </dxf>
    <dxf>
      <font>
        <sz val="18"/>
      </font>
    </dxf>
    <dxf>
      <numFmt numFmtId="2" formatCode="0.00"/>
    </dxf>
    <dxf>
      <alignment relativeIndent="1"/>
    </dxf>
    <dxf>
      <alignment relativeIndent="1"/>
    </dxf>
    <dxf>
      <alignment relativeIndent="1"/>
    </dxf>
    <dxf>
      <alignment relativeIndent="1"/>
    </dxf>
    <dxf>
      <alignment horizontal="left" relativeIndent="1"/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ill>
        <patternFill>
          <fgColor theme="5" tint="-0.249977111117893"/>
        </patternFill>
      </fill>
    </dxf>
    <dxf>
      <fill>
        <patternFill>
          <fgColor theme="5" tint="-0.249977111117893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5" tint="0.39997558519241921"/>
        </patternFill>
      </fill>
    </dxf>
    <dxf>
      <fill>
        <patternFill>
          <bgColor theme="5" tint="0.39997558519241921"/>
        </patternFill>
      </fill>
    </dxf>
    <dxf>
      <font>
        <color theme="0"/>
      </font>
    </dxf>
    <dxf>
      <font>
        <color theme="0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>
          <fgColor theme="5" tint="-0.249977111117893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>
          <fgColor theme="5" tint="-0.249977111117893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>
          <fgColor theme="5" tint="-0.249977111117893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>
          <fgColor theme="5" tint="-0.249977111117893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>
          <fgColor theme="5" tint="-0.249977111117893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8"/>
      </font>
    </dxf>
    <dxf>
      <font>
        <sz val="18"/>
      </font>
    </dxf>
    <dxf>
      <font>
        <sz val="18"/>
      </font>
    </dxf>
    <dxf>
      <alignment horizontal="center" vertical="center"/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18"/>
      </font>
    </dxf>
    <dxf>
      <font>
        <sz val="18"/>
      </font>
    </dxf>
    <dxf>
      <font>
        <sz val="18"/>
      </font>
    </dxf>
    <dxf>
      <font>
        <sz val="18"/>
      </font>
    </dxf>
    <dxf>
      <font>
        <sz val="18"/>
      </font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numFmt numFmtId="2" formatCode="0.00"/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18"/>
      </font>
    </dxf>
    <dxf>
      <font>
        <sz val="18"/>
      </font>
    </dxf>
    <dxf>
      <font>
        <sz val="18"/>
      </font>
    </dxf>
    <dxf>
      <font>
        <sz val="18"/>
      </font>
    </dxf>
    <dxf>
      <font>
        <sz val="18"/>
      </font>
    </dxf>
    <dxf>
      <numFmt numFmtId="2" formatCode="0.00"/>
    </dxf>
    <dxf>
      <font>
        <sz val="22"/>
      </font>
    </dxf>
    <dxf>
      <font>
        <sz val="22"/>
      </font>
    </dxf>
    <dxf>
      <font>
        <sz val="22"/>
      </font>
    </dxf>
    <dxf>
      <font>
        <sz val="18"/>
      </font>
    </dxf>
    <dxf>
      <font>
        <sz val="18"/>
      </font>
    </dxf>
    <dxf>
      <font>
        <sz val="18"/>
      </font>
    </dxf>
    <dxf>
      <font>
        <sz val="18"/>
      </font>
    </dxf>
    <dxf>
      <font>
        <sz val="18"/>
      </font>
    </dxf>
    <dxf>
      <font>
        <sz val="18"/>
      </font>
    </dxf>
    <dxf>
      <font>
        <sz val="18"/>
      </font>
    </dxf>
    <dxf>
      <font>
        <sz val="18"/>
      </font>
    </dxf>
    <dxf>
      <font>
        <sz val="18"/>
      </font>
    </dxf>
    <dxf>
      <font>
        <sz val="18"/>
      </font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numFmt numFmtId="2" formatCode="0.00"/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pivotCacheDefinition" Target="pivotCache/pivotCacheDefinition5.xml"/><Relationship Id="rId39" Type="http://schemas.openxmlformats.org/officeDocument/2006/relationships/styles" Target="styles.xml"/><Relationship Id="rId21" Type="http://schemas.openxmlformats.org/officeDocument/2006/relationships/worksheet" Target="worksheets/sheet21.xml"/><Relationship Id="rId34" Type="http://schemas.openxmlformats.org/officeDocument/2006/relationships/pivotCacheDefinition" Target="pivotCache/pivotCacheDefinition13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pivotCacheDefinition" Target="pivotCache/pivotCacheDefinition8.xml"/><Relationship Id="rId41" Type="http://schemas.openxmlformats.org/officeDocument/2006/relationships/powerPivotData" Target="model/item.data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ivotCacheDefinition" Target="pivotCache/pivotCacheDefinition3.xml"/><Relationship Id="rId32" Type="http://schemas.openxmlformats.org/officeDocument/2006/relationships/pivotCacheDefinition" Target="pivotCache/pivotCacheDefinition11.xml"/><Relationship Id="rId37" Type="http://schemas.openxmlformats.org/officeDocument/2006/relationships/theme" Target="theme/theme1.xml"/><Relationship Id="rId40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pivotCacheDefinition" Target="pivotCache/pivotCacheDefinition2.xml"/><Relationship Id="rId28" Type="http://schemas.openxmlformats.org/officeDocument/2006/relationships/pivotCacheDefinition" Target="pivotCache/pivotCacheDefinition7.xml"/><Relationship Id="rId36" Type="http://schemas.openxmlformats.org/officeDocument/2006/relationships/pivotCacheDefinition" Target="pivotCache/pivotCacheDefinition1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pivotCacheDefinition" Target="pivotCache/pivotCacheDefinition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pivotCacheDefinition" Target="pivotCache/pivotCacheDefinition1.xml"/><Relationship Id="rId27" Type="http://schemas.openxmlformats.org/officeDocument/2006/relationships/pivotCacheDefinition" Target="pivotCache/pivotCacheDefinition6.xml"/><Relationship Id="rId30" Type="http://schemas.openxmlformats.org/officeDocument/2006/relationships/pivotCacheDefinition" Target="pivotCache/pivotCacheDefinition9.xml"/><Relationship Id="rId35" Type="http://schemas.openxmlformats.org/officeDocument/2006/relationships/pivotCacheDefinition" Target="pivotCache/pivotCacheDefinition14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pivotCacheDefinition" Target="pivotCache/pivotCacheDefinition4.xml"/><Relationship Id="rId33" Type="http://schemas.openxmlformats.org/officeDocument/2006/relationships/pivotCacheDefinition" Target="pivotCache/pivotCacheDefinition12.xml"/><Relationship Id="rId38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Ex3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'Model 1'!$M$3</c:f>
              <c:strCache>
                <c:ptCount val="1"/>
                <c:pt idx="0">
                  <c:v>Residuals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'Model 1'!$L$4:$L$246</c:f>
              <c:numCache>
                <c:formatCode>0.00</c:formatCode>
                <c:ptCount val="243"/>
                <c:pt idx="0">
                  <c:v>2.6307657675423561</c:v>
                </c:pt>
                <c:pt idx="1">
                  <c:v>2.2070734058151804</c:v>
                </c:pt>
                <c:pt idx="2">
                  <c:v>3.195514412121677</c:v>
                </c:pt>
                <c:pt idx="3">
                  <c:v>3.2505099411309657</c:v>
                </c:pt>
                <c:pt idx="4">
                  <c:v>3.7195026028326881</c:v>
                </c:pt>
                <c:pt idx="5">
                  <c:v>3.7843487794413617</c:v>
                </c:pt>
                <c:pt idx="6">
                  <c:v>1.8692863793662178</c:v>
                </c:pt>
                <c:pt idx="7">
                  <c:v>3.9316422377382061</c:v>
                </c:pt>
                <c:pt idx="8">
                  <c:v>2.4501228469896228</c:v>
                </c:pt>
                <c:pt idx="9">
                  <c:v>2.4260371242492584</c:v>
                </c:pt>
                <c:pt idx="10">
                  <c:v>2.0082424720990897</c:v>
                </c:pt>
                <c:pt idx="11">
                  <c:v>4.7079436091391846</c:v>
                </c:pt>
                <c:pt idx="12">
                  <c:v>2.485325057148617</c:v>
                </c:pt>
                <c:pt idx="13">
                  <c:v>3.1488562486763603</c:v>
                </c:pt>
                <c:pt idx="14">
                  <c:v>2.4306689940070205</c:v>
                </c:pt>
                <c:pt idx="15">
                  <c:v>3.0559714113049452</c:v>
                </c:pt>
                <c:pt idx="16">
                  <c:v>2.2061470318636278</c:v>
                </c:pt>
                <c:pt idx="17">
                  <c:v>2.7582659069889059</c:v>
                </c:pt>
                <c:pt idx="18">
                  <c:v>2.8212593356944748</c:v>
                </c:pt>
                <c:pt idx="19">
                  <c:v>3.1621649498657876</c:v>
                </c:pt>
                <c:pt idx="20">
                  <c:v>2.7169185450367372</c:v>
                </c:pt>
                <c:pt idx="21">
                  <c:v>2.9364691715546751</c:v>
                </c:pt>
                <c:pt idx="22">
                  <c:v>2.5177481454529538</c:v>
                </c:pt>
                <c:pt idx="23">
                  <c:v>5.093315172985017</c:v>
                </c:pt>
                <c:pt idx="24">
                  <c:v>2.8929295958317085</c:v>
                </c:pt>
                <c:pt idx="25">
                  <c:v>3.0914210636801061</c:v>
                </c:pt>
                <c:pt idx="26">
                  <c:v>2.2954183970803586</c:v>
                </c:pt>
                <c:pt idx="27">
                  <c:v>2.2324249683747901</c:v>
                </c:pt>
                <c:pt idx="28">
                  <c:v>3.0670878987235746</c:v>
                </c:pt>
                <c:pt idx="29">
                  <c:v>2.8771812386553162</c:v>
                </c:pt>
                <c:pt idx="30">
                  <c:v>1.9415435475873113</c:v>
                </c:pt>
                <c:pt idx="31">
                  <c:v>3.1414452570639404</c:v>
                </c:pt>
                <c:pt idx="32">
                  <c:v>2.451975594892728</c:v>
                </c:pt>
                <c:pt idx="33">
                  <c:v>3.3582167617272209</c:v>
                </c:pt>
                <c:pt idx="34">
                  <c:v>2.7039493097150027</c:v>
                </c:pt>
                <c:pt idx="35">
                  <c:v>3.4780584673451829</c:v>
                </c:pt>
                <c:pt idx="36">
                  <c:v>2.7601186548920111</c:v>
                </c:pt>
                <c:pt idx="37">
                  <c:v>2.8175538398882649</c:v>
                </c:pt>
                <c:pt idx="38">
                  <c:v>2.9805956553615016</c:v>
                </c:pt>
                <c:pt idx="39">
                  <c:v>4.1459740864145216</c:v>
                </c:pt>
                <c:pt idx="40">
                  <c:v>2.7351065582000942</c:v>
                </c:pt>
                <c:pt idx="41">
                  <c:v>2.6743053432653232</c:v>
                </c:pt>
                <c:pt idx="42">
                  <c:v>2.3482217123188498</c:v>
                </c:pt>
                <c:pt idx="43">
                  <c:v>1.9535864089574935</c:v>
                </c:pt>
                <c:pt idx="44">
                  <c:v>4.2577258686846786</c:v>
                </c:pt>
                <c:pt idx="45">
                  <c:v>2.7511943812441793</c:v>
                </c:pt>
                <c:pt idx="46">
                  <c:v>3.1161857181558563</c:v>
                </c:pt>
                <c:pt idx="47">
                  <c:v>4.4430006589951745</c:v>
                </c:pt>
                <c:pt idx="48">
                  <c:v>3.8940003715922469</c:v>
                </c:pt>
                <c:pt idx="49">
                  <c:v>2.7280350324553666</c:v>
                </c:pt>
                <c:pt idx="50">
                  <c:v>2.2185293591015025</c:v>
                </c:pt>
                <c:pt idx="51">
                  <c:v>2.0100952200021949</c:v>
                </c:pt>
                <c:pt idx="52">
                  <c:v>4.6662567813193228</c:v>
                </c:pt>
                <c:pt idx="53">
                  <c:v>1.977672131697858</c:v>
                </c:pt>
                <c:pt idx="54">
                  <c:v>3.8093608761332787</c:v>
                </c:pt>
                <c:pt idx="55">
                  <c:v>2.8623592554304764</c:v>
                </c:pt>
                <c:pt idx="56">
                  <c:v>4.9626964458161167</c:v>
                </c:pt>
                <c:pt idx="57">
                  <c:v>3.503410029904793</c:v>
                </c:pt>
                <c:pt idx="58">
                  <c:v>2.0981007453996803</c:v>
                </c:pt>
                <c:pt idx="59">
                  <c:v>5.9131561201089617</c:v>
                </c:pt>
                <c:pt idx="60">
                  <c:v>2.9364691715546751</c:v>
                </c:pt>
                <c:pt idx="61">
                  <c:v>2.3361788509486678</c:v>
                </c:pt>
                <c:pt idx="62">
                  <c:v>2.0777205184655259</c:v>
                </c:pt>
                <c:pt idx="63">
                  <c:v>3.1358870133546253</c:v>
                </c:pt>
                <c:pt idx="64">
                  <c:v>2.8786945206907286</c:v>
                </c:pt>
                <c:pt idx="65">
                  <c:v>3.1093616346272963</c:v>
                </c:pt>
                <c:pt idx="66">
                  <c:v>2.5807415741585227</c:v>
                </c:pt>
                <c:pt idx="67">
                  <c:v>1.1489069109260805</c:v>
                </c:pt>
                <c:pt idx="68">
                  <c:v>2.9309109278453604</c:v>
                </c:pt>
                <c:pt idx="69">
                  <c:v>2.4473437251349655</c:v>
                </c:pt>
                <c:pt idx="70">
                  <c:v>2.1703579136207738</c:v>
                </c:pt>
                <c:pt idx="71">
                  <c:v>2.8305230752099995</c:v>
                </c:pt>
                <c:pt idx="72">
                  <c:v>3.5450968577246544</c:v>
                </c:pt>
                <c:pt idx="73">
                  <c:v>3.3987297733793627</c:v>
                </c:pt>
                <c:pt idx="74">
                  <c:v>2.4214052544914964</c:v>
                </c:pt>
                <c:pt idx="75">
                  <c:v>2.0304754469363493</c:v>
                </c:pt>
                <c:pt idx="76">
                  <c:v>2.7169185450367372</c:v>
                </c:pt>
                <c:pt idx="77">
                  <c:v>3.9612862041878856</c:v>
                </c:pt>
                <c:pt idx="78">
                  <c:v>3.1652835375881381</c:v>
                </c:pt>
                <c:pt idx="79">
                  <c:v>2.6585569860889309</c:v>
                </c:pt>
                <c:pt idx="80">
                  <c:v>2.8577273856727143</c:v>
                </c:pt>
                <c:pt idx="81">
                  <c:v>2.6001954271411245</c:v>
                </c:pt>
                <c:pt idx="82">
                  <c:v>1.797368677012817</c:v>
                </c:pt>
                <c:pt idx="83">
                  <c:v>4.0842464975281985</c:v>
                </c:pt>
                <c:pt idx="84">
                  <c:v>2.537201998435556</c:v>
                </c:pt>
                <c:pt idx="85">
                  <c:v>4.6681095292224279</c:v>
                </c:pt>
                <c:pt idx="86">
                  <c:v>2.2639216827275743</c:v>
                </c:pt>
                <c:pt idx="87">
                  <c:v>2.7502680072926267</c:v>
                </c:pt>
                <c:pt idx="88">
                  <c:v>3.3459264581408714</c:v>
                </c:pt>
                <c:pt idx="89">
                  <c:v>3.0170637053397407</c:v>
                </c:pt>
                <c:pt idx="90">
                  <c:v>3.740561761502228</c:v>
                </c:pt>
                <c:pt idx="91">
                  <c:v>3.1402714408962207</c:v>
                </c:pt>
                <c:pt idx="92">
                  <c:v>1.5895214459973688</c:v>
                </c:pt>
                <c:pt idx="93">
                  <c:v>2.5686987127883407</c:v>
                </c:pt>
                <c:pt idx="94">
                  <c:v>3.164357163636585</c:v>
                </c:pt>
                <c:pt idx="95">
                  <c:v>5.1627932193514532</c:v>
                </c:pt>
                <c:pt idx="96">
                  <c:v>3.584004563689859</c:v>
                </c:pt>
                <c:pt idx="97">
                  <c:v>2.1712842875723259</c:v>
                </c:pt>
                <c:pt idx="98">
                  <c:v>3.003168096066454</c:v>
                </c:pt>
                <c:pt idx="99">
                  <c:v>2.2111183674890831</c:v>
                </c:pt>
                <c:pt idx="100">
                  <c:v>2.1082908588667575</c:v>
                </c:pt>
                <c:pt idx="101">
                  <c:v>2.4816195613424075</c:v>
                </c:pt>
                <c:pt idx="102">
                  <c:v>5.3530393452874039</c:v>
                </c:pt>
                <c:pt idx="103">
                  <c:v>3.1337868232353534</c:v>
                </c:pt>
                <c:pt idx="104">
                  <c:v>2.9948307305024815</c:v>
                </c:pt>
                <c:pt idx="105">
                  <c:v>2.4797668134393023</c:v>
                </c:pt>
                <c:pt idx="106">
                  <c:v>2.9549966505857244</c:v>
                </c:pt>
                <c:pt idx="107">
                  <c:v>3.3922451557184954</c:v>
                </c:pt>
                <c:pt idx="108">
                  <c:v>2.7465625114864167</c:v>
                </c:pt>
                <c:pt idx="109">
                  <c:v>2.3824975485262918</c:v>
                </c:pt>
                <c:pt idx="110">
                  <c:v>2.3537799560281649</c:v>
                </c:pt>
                <c:pt idx="111">
                  <c:v>1.5361312226750172</c:v>
                </c:pt>
                <c:pt idx="112">
                  <c:v>4.7759083734702088</c:v>
                </c:pt>
                <c:pt idx="113">
                  <c:v>3.2755220378228826</c:v>
                </c:pt>
                <c:pt idx="114">
                  <c:v>3.6309101693513428</c:v>
                </c:pt>
                <c:pt idx="115">
                  <c:v>2.6604097339920356</c:v>
                </c:pt>
                <c:pt idx="116">
                  <c:v>4.2141862929617124</c:v>
                </c:pt>
                <c:pt idx="117">
                  <c:v>2.0434446822580838</c:v>
                </c:pt>
                <c:pt idx="118">
                  <c:v>2.2083392456344253</c:v>
                </c:pt>
                <c:pt idx="119">
                  <c:v>3.6722575313035115</c:v>
                </c:pt>
                <c:pt idx="120">
                  <c:v>2.1397875732195422</c:v>
                </c:pt>
                <c:pt idx="121">
                  <c:v>2.3000502668381211</c:v>
                </c:pt>
                <c:pt idx="122">
                  <c:v>2.3778656787685293</c:v>
                </c:pt>
                <c:pt idx="123">
                  <c:v>2.5344228765808987</c:v>
                </c:pt>
                <c:pt idx="124">
                  <c:v>2.2129711153921878</c:v>
                </c:pt>
                <c:pt idx="125">
                  <c:v>4.5868360637019769</c:v>
                </c:pt>
                <c:pt idx="126">
                  <c:v>1.8461270305774056</c:v>
                </c:pt>
                <c:pt idx="127">
                  <c:v>2.4019514015088941</c:v>
                </c:pt>
                <c:pt idx="128">
                  <c:v>2.1110699807214153</c:v>
                </c:pt>
                <c:pt idx="129">
                  <c:v>3.3631880973526762</c:v>
                </c:pt>
                <c:pt idx="130">
                  <c:v>2.8243779234168249</c:v>
                </c:pt>
                <c:pt idx="131">
                  <c:v>2.9346164236515699</c:v>
                </c:pt>
                <c:pt idx="132">
                  <c:v>2.091616127738813</c:v>
                </c:pt>
                <c:pt idx="133">
                  <c:v>2.1925908884580334</c:v>
                </c:pt>
                <c:pt idx="134">
                  <c:v>2.7484152593895219</c:v>
                </c:pt>
                <c:pt idx="135">
                  <c:v>1.8452006566258532</c:v>
                </c:pt>
                <c:pt idx="136">
                  <c:v>2.0138007158084048</c:v>
                </c:pt>
                <c:pt idx="137">
                  <c:v>2.3676755653014521</c:v>
                </c:pt>
                <c:pt idx="138">
                  <c:v>2.5390547463386612</c:v>
                </c:pt>
                <c:pt idx="139">
                  <c:v>2.2759645440977563</c:v>
                </c:pt>
                <c:pt idx="140">
                  <c:v>2.6752317172168754</c:v>
                </c:pt>
                <c:pt idx="141">
                  <c:v>5.0037043419005931</c:v>
                </c:pt>
                <c:pt idx="142">
                  <c:v>5.4496296784650289</c:v>
                </c:pt>
                <c:pt idx="143">
                  <c:v>4.3320832270250449</c:v>
                </c:pt>
                <c:pt idx="144">
                  <c:v>2.5788888262554179</c:v>
                </c:pt>
                <c:pt idx="145">
                  <c:v>1.8303786734010137</c:v>
                </c:pt>
                <c:pt idx="146">
                  <c:v>2.9759637856037391</c:v>
                </c:pt>
                <c:pt idx="147">
                  <c:v>2.1564623043474866</c:v>
                </c:pt>
                <c:pt idx="148">
                  <c:v>1.9628501484730183</c:v>
                </c:pt>
                <c:pt idx="149">
                  <c:v>1.752563261470605</c:v>
                </c:pt>
                <c:pt idx="150">
                  <c:v>2.3602645736890322</c:v>
                </c:pt>
                <c:pt idx="151">
                  <c:v>2.2731854222430989</c:v>
                </c:pt>
                <c:pt idx="152">
                  <c:v>2.848124180289497</c:v>
                </c:pt>
                <c:pt idx="153">
                  <c:v>3.7157971070264781</c:v>
                </c:pt>
                <c:pt idx="154">
                  <c:v>3.2729903581843924</c:v>
                </c:pt>
                <c:pt idx="155">
                  <c:v>4.399121617404516</c:v>
                </c:pt>
                <c:pt idx="156">
                  <c:v>6.2885850127038836</c:v>
                </c:pt>
                <c:pt idx="157">
                  <c:v>3.7574839348463396</c:v>
                </c:pt>
                <c:pt idx="158">
                  <c:v>2.2972711449834637</c:v>
                </c:pt>
                <c:pt idx="159">
                  <c:v>2.9691397020751786</c:v>
                </c:pt>
                <c:pt idx="160">
                  <c:v>3.4332530518029714</c:v>
                </c:pt>
                <c:pt idx="161">
                  <c:v>2.2296458465201328</c:v>
                </c:pt>
                <c:pt idx="162">
                  <c:v>2.7508549153764865</c:v>
                </c:pt>
                <c:pt idx="163">
                  <c:v>2.3361788509486678</c:v>
                </c:pt>
                <c:pt idx="164">
                  <c:v>2.6789372130230857</c:v>
                </c:pt>
                <c:pt idx="165">
                  <c:v>3.5206716691165978</c:v>
                </c:pt>
                <c:pt idx="166">
                  <c:v>2.9800087472776418</c:v>
                </c:pt>
                <c:pt idx="167">
                  <c:v>4.3790808563380548</c:v>
                </c:pt>
                <c:pt idx="168">
                  <c:v>2.0378864385487692</c:v>
                </c:pt>
                <c:pt idx="169">
                  <c:v>2.0415919343549791</c:v>
                </c:pt>
                <c:pt idx="170">
                  <c:v>5.956108787748069</c:v>
                </c:pt>
                <c:pt idx="171">
                  <c:v>2.5214536412591642</c:v>
                </c:pt>
                <c:pt idx="172">
                  <c:v>1.7284775387302407</c:v>
                </c:pt>
                <c:pt idx="173">
                  <c:v>4.0073574595493424</c:v>
                </c:pt>
                <c:pt idx="174">
                  <c:v>2.6150174103659642</c:v>
                </c:pt>
                <c:pt idx="175">
                  <c:v>4.1046267244623529</c:v>
                </c:pt>
                <c:pt idx="176">
                  <c:v>2.7141394231820799</c:v>
                </c:pt>
                <c:pt idx="177">
                  <c:v>2.3982459057026841</c:v>
                </c:pt>
                <c:pt idx="178">
                  <c:v>1.9461754173450736</c:v>
                </c:pt>
                <c:pt idx="179">
                  <c:v>4.2648894180809318</c:v>
                </c:pt>
                <c:pt idx="180">
                  <c:v>4.651434798094483</c:v>
                </c:pt>
                <c:pt idx="181">
                  <c:v>3.2180868528266289</c:v>
                </c:pt>
                <c:pt idx="182">
                  <c:v>5.4503086102004143</c:v>
                </c:pt>
                <c:pt idx="183">
                  <c:v>3.587957501712236</c:v>
                </c:pt>
                <c:pt idx="184">
                  <c:v>4.8133027974000004</c:v>
                </c:pt>
                <c:pt idx="185">
                  <c:v>3.5505630777824444</c:v>
                </c:pt>
                <c:pt idx="186">
                  <c:v>3.1853242986545993</c:v>
                </c:pt>
                <c:pt idx="187">
                  <c:v>4.4556304284492176</c:v>
                </c:pt>
                <c:pt idx="188">
                  <c:v>2.9305714619776673</c:v>
                </c:pt>
                <c:pt idx="189">
                  <c:v>3.3891265679961453</c:v>
                </c:pt>
                <c:pt idx="190">
                  <c:v>2.5103371538405339</c:v>
                </c:pt>
                <c:pt idx="191">
                  <c:v>2.8920032218801559</c:v>
                </c:pt>
                <c:pt idx="192">
                  <c:v>3.6914639420699467</c:v>
                </c:pt>
                <c:pt idx="193">
                  <c:v>2.4908833008579321</c:v>
                </c:pt>
                <c:pt idx="194">
                  <c:v>2.5927844355287046</c:v>
                </c:pt>
                <c:pt idx="195">
                  <c:v>1.7571951312283676</c:v>
                </c:pt>
                <c:pt idx="196">
                  <c:v>2.0147270897599574</c:v>
                </c:pt>
                <c:pt idx="197">
                  <c:v>5.4351471611078814</c:v>
                </c:pt>
                <c:pt idx="198">
                  <c:v>2.261142560872917</c:v>
                </c:pt>
                <c:pt idx="199">
                  <c:v>2.3083876324020931</c:v>
                </c:pt>
                <c:pt idx="200">
                  <c:v>2.9824484032646064</c:v>
                </c:pt>
                <c:pt idx="201">
                  <c:v>2.2370568381325526</c:v>
                </c:pt>
                <c:pt idx="202">
                  <c:v>2.5761097044007601</c:v>
                </c:pt>
                <c:pt idx="203">
                  <c:v>3.3433947785023812</c:v>
                </c:pt>
                <c:pt idx="204">
                  <c:v>2.7749406381168509</c:v>
                </c:pt>
                <c:pt idx="205">
                  <c:v>3.7124310770879605</c:v>
                </c:pt>
                <c:pt idx="206">
                  <c:v>5.0293953703278955</c:v>
                </c:pt>
                <c:pt idx="207">
                  <c:v>3.3051660042725621</c:v>
                </c:pt>
                <c:pt idx="208">
                  <c:v>2.2389095860356574</c:v>
                </c:pt>
                <c:pt idx="209">
                  <c:v>4.0338828382766714</c:v>
                </c:pt>
                <c:pt idx="210">
                  <c:v>3.8399312165345107</c:v>
                </c:pt>
                <c:pt idx="211">
                  <c:v>5.9187143638182764</c:v>
                </c:pt>
                <c:pt idx="212">
                  <c:v>2.2861546575648339</c:v>
                </c:pt>
                <c:pt idx="213">
                  <c:v>3.8587981614332527</c:v>
                </c:pt>
                <c:pt idx="214">
                  <c:v>2.2518788213573924</c:v>
                </c:pt>
                <c:pt idx="215">
                  <c:v>4.2416380456405944</c:v>
                </c:pt>
                <c:pt idx="216">
                  <c:v>2.1305238337040171</c:v>
                </c:pt>
                <c:pt idx="217">
                  <c:v>1.7738698623563123</c:v>
                </c:pt>
                <c:pt idx="218">
                  <c:v>4.2336401459443147</c:v>
                </c:pt>
                <c:pt idx="219">
                  <c:v>2.1833271489425083</c:v>
                </c:pt>
                <c:pt idx="220">
                  <c:v>2.3000502668381211</c:v>
                </c:pt>
                <c:pt idx="221">
                  <c:v>1.6593389582314972</c:v>
                </c:pt>
                <c:pt idx="222">
                  <c:v>2.7295483144907795</c:v>
                </c:pt>
                <c:pt idx="223">
                  <c:v>2.3000502668381211</c:v>
                </c:pt>
                <c:pt idx="224">
                  <c:v>2.5640668430305782</c:v>
                </c:pt>
                <c:pt idx="225">
                  <c:v>1.9915677409711452</c:v>
                </c:pt>
                <c:pt idx="226">
                  <c:v>3.3359837868899609</c:v>
                </c:pt>
                <c:pt idx="227">
                  <c:v>2.2870810315163865</c:v>
                </c:pt>
                <c:pt idx="228">
                  <c:v>3.1059956046887791</c:v>
                </c:pt>
                <c:pt idx="229">
                  <c:v>3.6657729136426442</c:v>
                </c:pt>
                <c:pt idx="230">
                  <c:v>2.7026834698957574</c:v>
                </c:pt>
                <c:pt idx="231">
                  <c:v>2.1323765816071223</c:v>
                </c:pt>
                <c:pt idx="232">
                  <c:v>2.0545611696767137</c:v>
                </c:pt>
                <c:pt idx="233">
                  <c:v>2.4955151706156942</c:v>
                </c:pt>
                <c:pt idx="234">
                  <c:v>1.9897149930680402</c:v>
                </c:pt>
                <c:pt idx="235">
                  <c:v>2.2240876028108176</c:v>
                </c:pt>
                <c:pt idx="236">
                  <c:v>4.0981421068014852</c:v>
                </c:pt>
                <c:pt idx="237">
                  <c:v>4.5684006083224524</c:v>
                </c:pt>
                <c:pt idx="238">
                  <c:v>3.9384663212667661</c:v>
                </c:pt>
                <c:pt idx="239">
                  <c:v>3.5747408241743339</c:v>
                </c:pt>
                <c:pt idx="240" formatCode="General">
                  <c:v>3.1569461720241656</c:v>
                </c:pt>
                <c:pt idx="241" formatCode="General">
                  <c:v>2.7076548055212122</c:v>
                </c:pt>
                <c:pt idx="242" formatCode="General">
                  <c:v>2.7965867048702506</c:v>
                </c:pt>
              </c:numCache>
            </c:numRef>
          </c:xVal>
          <c:yVal>
            <c:numRef>
              <c:f>'Model 1'!$M$4:$M$246</c:f>
              <c:numCache>
                <c:formatCode>0.00</c:formatCode>
                <c:ptCount val="243"/>
                <c:pt idx="0">
                  <c:v>-1.6207657675423561</c:v>
                </c:pt>
                <c:pt idx="1">
                  <c:v>-0.54707340581518049</c:v>
                </c:pt>
                <c:pt idx="2">
                  <c:v>0.30448558787832303</c:v>
                </c:pt>
                <c:pt idx="3">
                  <c:v>5.9490058869034357E-2</c:v>
                </c:pt>
                <c:pt idx="4">
                  <c:v>-0.1095026028326882</c:v>
                </c:pt>
                <c:pt idx="5">
                  <c:v>0.92565122055863824</c:v>
                </c:pt>
                <c:pt idx="6">
                  <c:v>0.13071362063378222</c:v>
                </c:pt>
                <c:pt idx="7">
                  <c:v>-0.81164223773820598</c:v>
                </c:pt>
                <c:pt idx="8">
                  <c:v>-0.49012284698962283</c:v>
                </c:pt>
                <c:pt idx="9">
                  <c:v>0.80396287575074155</c:v>
                </c:pt>
                <c:pt idx="10">
                  <c:v>-0.29824247209908972</c:v>
                </c:pt>
                <c:pt idx="11">
                  <c:v>0.29205639086081536</c:v>
                </c:pt>
                <c:pt idx="12">
                  <c:v>-0.91532505714861689</c:v>
                </c:pt>
                <c:pt idx="13">
                  <c:v>-0.14885624867636027</c:v>
                </c:pt>
                <c:pt idx="14">
                  <c:v>0.5893310059929795</c:v>
                </c:pt>
                <c:pt idx="15">
                  <c:v>0.86402858869505472</c:v>
                </c:pt>
                <c:pt idx="16">
                  <c:v>-0.53614703186362789</c:v>
                </c:pt>
                <c:pt idx="17">
                  <c:v>0.95173409301109402</c:v>
                </c:pt>
                <c:pt idx="18">
                  <c:v>0.67874066430552515</c:v>
                </c:pt>
                <c:pt idx="19">
                  <c:v>0.18783505013421253</c:v>
                </c:pt>
                <c:pt idx="20">
                  <c:v>1.3630814549632628</c:v>
                </c:pt>
                <c:pt idx="21">
                  <c:v>-0.18646917155467513</c:v>
                </c:pt>
                <c:pt idx="22">
                  <c:v>-0.2877481454529538</c:v>
                </c:pt>
                <c:pt idx="23">
                  <c:v>2.4866848270149831</c:v>
                </c:pt>
                <c:pt idx="24">
                  <c:v>0.28707040416829166</c:v>
                </c:pt>
                <c:pt idx="25">
                  <c:v>-0.75142106368010619</c:v>
                </c:pt>
                <c:pt idx="26">
                  <c:v>-0.29541839708035855</c:v>
                </c:pt>
                <c:pt idx="27">
                  <c:v>-0.2324249683747901</c:v>
                </c:pt>
                <c:pt idx="28">
                  <c:v>1.2329121012764253</c:v>
                </c:pt>
                <c:pt idx="29">
                  <c:v>0.12281876134468384</c:v>
                </c:pt>
                <c:pt idx="30">
                  <c:v>-0.49154354758731134</c:v>
                </c:pt>
                <c:pt idx="31">
                  <c:v>-0.6414452570639404</c:v>
                </c:pt>
                <c:pt idx="32">
                  <c:v>0.54802440510727202</c:v>
                </c:pt>
                <c:pt idx="33">
                  <c:v>-0.90821676172722077</c:v>
                </c:pt>
                <c:pt idx="34">
                  <c:v>0.56605069028499733</c:v>
                </c:pt>
                <c:pt idx="35">
                  <c:v>0.12194153265481722</c:v>
                </c:pt>
                <c:pt idx="36">
                  <c:v>-0.76011865489201114</c:v>
                </c:pt>
                <c:pt idx="37">
                  <c:v>0.25244616011173493</c:v>
                </c:pt>
                <c:pt idx="38">
                  <c:v>-0.67059565536150156</c:v>
                </c:pt>
                <c:pt idx="39">
                  <c:v>0.85402591358547841</c:v>
                </c:pt>
                <c:pt idx="40">
                  <c:v>-0.49510655820009397</c:v>
                </c:pt>
                <c:pt idx="41">
                  <c:v>-0.13430534326532317</c:v>
                </c:pt>
                <c:pt idx="42">
                  <c:v>0.71177828768115026</c:v>
                </c:pt>
                <c:pt idx="43">
                  <c:v>-0.63358640895749341</c:v>
                </c:pt>
                <c:pt idx="44">
                  <c:v>1.342274131315321</c:v>
                </c:pt>
                <c:pt idx="45">
                  <c:v>0.24880561875582075</c:v>
                </c:pt>
                <c:pt idx="46">
                  <c:v>1.8838142818441437</c:v>
                </c:pt>
                <c:pt idx="47">
                  <c:v>1.5569993410048255</c:v>
                </c:pt>
                <c:pt idx="48">
                  <c:v>-1.8440003715922471</c:v>
                </c:pt>
                <c:pt idx="49">
                  <c:v>0.2719649675446334</c:v>
                </c:pt>
                <c:pt idx="50">
                  <c:v>0.28147064089849749</c:v>
                </c:pt>
                <c:pt idx="51">
                  <c:v>0.58990477999780522</c:v>
                </c:pt>
                <c:pt idx="52">
                  <c:v>0.53374321868067742</c:v>
                </c:pt>
                <c:pt idx="53">
                  <c:v>-0.417672131697858</c:v>
                </c:pt>
                <c:pt idx="54">
                  <c:v>0.53063912386672119</c:v>
                </c:pt>
                <c:pt idx="55">
                  <c:v>0.64764074456952336</c:v>
                </c:pt>
                <c:pt idx="56">
                  <c:v>-1.9626964458161167</c:v>
                </c:pt>
                <c:pt idx="57">
                  <c:v>-2.003410029904793</c:v>
                </c:pt>
                <c:pt idx="58">
                  <c:v>-0.33810074539968027</c:v>
                </c:pt>
                <c:pt idx="59">
                  <c:v>0.81684387989103868</c:v>
                </c:pt>
                <c:pt idx="60">
                  <c:v>0.27353082844532484</c:v>
                </c:pt>
                <c:pt idx="61">
                  <c:v>-0.33617885094866784</c:v>
                </c:pt>
                <c:pt idx="62">
                  <c:v>-9.7720518465525874E-2</c:v>
                </c:pt>
                <c:pt idx="63">
                  <c:v>0.62411298664537451</c:v>
                </c:pt>
                <c:pt idx="64">
                  <c:v>-0.2386945206907285</c:v>
                </c:pt>
                <c:pt idx="65">
                  <c:v>4.06383653727036E-2</c:v>
                </c:pt>
                <c:pt idx="66">
                  <c:v>-0.11074157415852248</c:v>
                </c:pt>
                <c:pt idx="67">
                  <c:v>-0.14890691092608055</c:v>
                </c:pt>
                <c:pt idx="68">
                  <c:v>-0.92091092784536066</c:v>
                </c:pt>
                <c:pt idx="69">
                  <c:v>-0.3573437251349656</c:v>
                </c:pt>
                <c:pt idx="70">
                  <c:v>-0.20035791362077382</c:v>
                </c:pt>
                <c:pt idx="71">
                  <c:v>0.16947692479000054</c:v>
                </c:pt>
                <c:pt idx="72">
                  <c:v>-0.40509685772465431</c:v>
                </c:pt>
                <c:pt idx="73">
                  <c:v>1.6012702266206373</c:v>
                </c:pt>
                <c:pt idx="74">
                  <c:v>-0.22140525449149617</c:v>
                </c:pt>
                <c:pt idx="75">
                  <c:v>-0.78047544693634929</c:v>
                </c:pt>
                <c:pt idx="76">
                  <c:v>0.36308145496326283</c:v>
                </c:pt>
                <c:pt idx="77">
                  <c:v>3.8713795812114427E-2</c:v>
                </c:pt>
                <c:pt idx="78">
                  <c:v>-0.16528353758813807</c:v>
                </c:pt>
                <c:pt idx="79">
                  <c:v>5.1443013911069091E-2</c:v>
                </c:pt>
                <c:pt idx="80">
                  <c:v>0.14227261432728566</c:v>
                </c:pt>
                <c:pt idx="81">
                  <c:v>0.79980457285887541</c:v>
                </c:pt>
                <c:pt idx="82">
                  <c:v>3.2631322987183076E-2</c:v>
                </c:pt>
                <c:pt idx="83">
                  <c:v>0.91575350247180154</c:v>
                </c:pt>
                <c:pt idx="84">
                  <c:v>-0.50720199843555624</c:v>
                </c:pt>
                <c:pt idx="85">
                  <c:v>0.50189047077757198</c:v>
                </c:pt>
                <c:pt idx="86">
                  <c:v>-0.26392168272757432</c:v>
                </c:pt>
                <c:pt idx="87">
                  <c:v>1.2497319927073733</c:v>
                </c:pt>
                <c:pt idx="88">
                  <c:v>2.5040735418591282</c:v>
                </c:pt>
                <c:pt idx="89">
                  <c:v>-1.7063705339740665E-2</c:v>
                </c:pt>
                <c:pt idx="90">
                  <c:v>-0.74056176150222797</c:v>
                </c:pt>
                <c:pt idx="91">
                  <c:v>0.35972855910377932</c:v>
                </c:pt>
                <c:pt idx="92">
                  <c:v>-0.58952144599736878</c:v>
                </c:pt>
                <c:pt idx="93">
                  <c:v>1.7313012872116591</c:v>
                </c:pt>
                <c:pt idx="94">
                  <c:v>8.5642836363414965E-2</c:v>
                </c:pt>
                <c:pt idx="95">
                  <c:v>-0.43279321935145276</c:v>
                </c:pt>
                <c:pt idx="96">
                  <c:v>0.41599543631014102</c:v>
                </c:pt>
                <c:pt idx="97">
                  <c:v>-0.67128428757232594</c:v>
                </c:pt>
                <c:pt idx="98">
                  <c:v>-3.1680960664539626E-3</c:v>
                </c:pt>
                <c:pt idx="99">
                  <c:v>-0.71111836748908308</c:v>
                </c:pt>
                <c:pt idx="100">
                  <c:v>0.39170914113324251</c:v>
                </c:pt>
                <c:pt idx="101">
                  <c:v>0.51838043865759253</c:v>
                </c:pt>
                <c:pt idx="102">
                  <c:v>-2.8530393452874039</c:v>
                </c:pt>
                <c:pt idx="103">
                  <c:v>0.34621317676464658</c:v>
                </c:pt>
                <c:pt idx="104">
                  <c:v>1.0851692694975186</c:v>
                </c:pt>
                <c:pt idx="105">
                  <c:v>-0.83976681343930237</c:v>
                </c:pt>
                <c:pt idx="106">
                  <c:v>1.1050033494142752</c:v>
                </c:pt>
                <c:pt idx="107">
                  <c:v>0.89775484428150465</c:v>
                </c:pt>
                <c:pt idx="108">
                  <c:v>1.0134374885135831</c:v>
                </c:pt>
                <c:pt idx="109">
                  <c:v>1.6175024514737082</c:v>
                </c:pt>
                <c:pt idx="110">
                  <c:v>0.64622004397183508</c:v>
                </c:pt>
                <c:pt idx="111">
                  <c:v>-0.53613122267501723</c:v>
                </c:pt>
                <c:pt idx="112">
                  <c:v>-0.7759083734702088</c:v>
                </c:pt>
                <c:pt idx="113">
                  <c:v>-0.72552203782288283</c:v>
                </c:pt>
                <c:pt idx="114">
                  <c:v>0.36908983064865719</c:v>
                </c:pt>
                <c:pt idx="115">
                  <c:v>0.83959026600796438</c:v>
                </c:pt>
                <c:pt idx="116">
                  <c:v>0.85581370703828785</c:v>
                </c:pt>
                <c:pt idx="117">
                  <c:v>-0.54344468225808384</c:v>
                </c:pt>
                <c:pt idx="118">
                  <c:v>-0.40833924563442525</c:v>
                </c:pt>
                <c:pt idx="119">
                  <c:v>-0.75225753130351158</c:v>
                </c:pt>
                <c:pt idx="120">
                  <c:v>0.17021242678045789</c:v>
                </c:pt>
                <c:pt idx="121">
                  <c:v>-0.62005026683812114</c:v>
                </c:pt>
                <c:pt idx="122">
                  <c:v>0.12213432123147072</c:v>
                </c:pt>
                <c:pt idx="123">
                  <c:v>-0.53442287658089871</c:v>
                </c:pt>
                <c:pt idx="124">
                  <c:v>0.30702888460781219</c:v>
                </c:pt>
                <c:pt idx="125">
                  <c:v>-0.38683606370197676</c:v>
                </c:pt>
                <c:pt idx="126">
                  <c:v>-0.36612703057740559</c:v>
                </c:pt>
                <c:pt idx="127">
                  <c:v>-0.40195140150889408</c:v>
                </c:pt>
                <c:pt idx="128">
                  <c:v>-0.11106998072141527</c:v>
                </c:pt>
                <c:pt idx="129">
                  <c:v>-1.183188097352676</c:v>
                </c:pt>
                <c:pt idx="130">
                  <c:v>-1.3243779234168249</c:v>
                </c:pt>
                <c:pt idx="131">
                  <c:v>-0.10461642365156987</c:v>
                </c:pt>
                <c:pt idx="132">
                  <c:v>-0.591616127738813</c:v>
                </c:pt>
                <c:pt idx="133">
                  <c:v>-0.1925908884580334</c:v>
                </c:pt>
                <c:pt idx="134">
                  <c:v>0.50158474061047809</c:v>
                </c:pt>
                <c:pt idx="135">
                  <c:v>-0.5952006566258532</c:v>
                </c:pt>
                <c:pt idx="136">
                  <c:v>-1.3800715808404806E-2</c:v>
                </c:pt>
                <c:pt idx="137">
                  <c:v>-0.36767556530145207</c:v>
                </c:pt>
                <c:pt idx="138">
                  <c:v>-0.53905474633866124</c:v>
                </c:pt>
                <c:pt idx="139">
                  <c:v>0.47403545590224372</c:v>
                </c:pt>
                <c:pt idx="140">
                  <c:v>0.82476828278312464</c:v>
                </c:pt>
                <c:pt idx="141">
                  <c:v>1.6962956580994071</c:v>
                </c:pt>
                <c:pt idx="142">
                  <c:v>-0.44962967846502888</c:v>
                </c:pt>
                <c:pt idx="143">
                  <c:v>0.66791677297495511</c:v>
                </c:pt>
                <c:pt idx="144">
                  <c:v>-0.27888882625541811</c:v>
                </c:pt>
                <c:pt idx="145">
                  <c:v>-0.33037867340101368</c:v>
                </c:pt>
                <c:pt idx="146">
                  <c:v>-1.615963785603739</c:v>
                </c:pt>
                <c:pt idx="147">
                  <c:v>-0.52646230434748675</c:v>
                </c:pt>
                <c:pt idx="148">
                  <c:v>-0.23285014847301833</c:v>
                </c:pt>
                <c:pt idx="149">
                  <c:v>0.24743673852939496</c:v>
                </c:pt>
                <c:pt idx="150">
                  <c:v>0.1397354263109678</c:v>
                </c:pt>
                <c:pt idx="151">
                  <c:v>-0.27318542224309894</c:v>
                </c:pt>
                <c:pt idx="152">
                  <c:v>-0.10812418028949677</c:v>
                </c:pt>
                <c:pt idx="153">
                  <c:v>-1.7157971070264781</c:v>
                </c:pt>
                <c:pt idx="154">
                  <c:v>-1.2729903581843924</c:v>
                </c:pt>
                <c:pt idx="155">
                  <c:v>0.74087838259548366</c:v>
                </c:pt>
                <c:pt idx="156">
                  <c:v>-1.2885850127038836</c:v>
                </c:pt>
                <c:pt idx="157">
                  <c:v>-7.4839348463395794E-3</c:v>
                </c:pt>
                <c:pt idx="158">
                  <c:v>0.31272885501653613</c:v>
                </c:pt>
                <c:pt idx="159">
                  <c:v>-0.96913970207517863</c:v>
                </c:pt>
                <c:pt idx="160">
                  <c:v>6.6746948197028644E-2</c:v>
                </c:pt>
                <c:pt idx="161">
                  <c:v>0.27035415347986724</c:v>
                </c:pt>
                <c:pt idx="162">
                  <c:v>-0.75085491537648652</c:v>
                </c:pt>
                <c:pt idx="163">
                  <c:v>-0.33617885094866784</c:v>
                </c:pt>
                <c:pt idx="164">
                  <c:v>0.32106278697691426</c:v>
                </c:pt>
                <c:pt idx="165">
                  <c:v>-4.0671669116597808E-2</c:v>
                </c:pt>
                <c:pt idx="166">
                  <c:v>-0.74000874727764154</c:v>
                </c:pt>
                <c:pt idx="167">
                  <c:v>0.12091914366194523</c:v>
                </c:pt>
                <c:pt idx="168">
                  <c:v>-0.42788643854876907</c:v>
                </c:pt>
                <c:pt idx="169">
                  <c:v>-4.1591934354979099E-2</c:v>
                </c:pt>
                <c:pt idx="170">
                  <c:v>4.043891212251931</c:v>
                </c:pt>
                <c:pt idx="171">
                  <c:v>0.63854635874083598</c:v>
                </c:pt>
                <c:pt idx="172">
                  <c:v>3.4215224612697597</c:v>
                </c:pt>
                <c:pt idx="173">
                  <c:v>-0.82735745954934226</c:v>
                </c:pt>
                <c:pt idx="174">
                  <c:v>1.3849825896340358</c:v>
                </c:pt>
                <c:pt idx="175">
                  <c:v>-0.99462672446235301</c:v>
                </c:pt>
                <c:pt idx="176">
                  <c:v>-0.7141394231820799</c:v>
                </c:pt>
                <c:pt idx="177">
                  <c:v>-0.39824590570268414</c:v>
                </c:pt>
                <c:pt idx="178">
                  <c:v>2.0538245826549266</c:v>
                </c:pt>
                <c:pt idx="179">
                  <c:v>-0.71488941808093198</c:v>
                </c:pt>
                <c:pt idx="180">
                  <c:v>-0.97143479809448285</c:v>
                </c:pt>
                <c:pt idx="181">
                  <c:v>2.4319131471733715</c:v>
                </c:pt>
                <c:pt idx="182">
                  <c:v>-1.9503086102004143</c:v>
                </c:pt>
                <c:pt idx="183">
                  <c:v>2.912042498287764</c:v>
                </c:pt>
                <c:pt idx="184">
                  <c:v>-1.8133027974000004</c:v>
                </c:pt>
                <c:pt idx="185">
                  <c:v>1.4494369222175556</c:v>
                </c:pt>
                <c:pt idx="186">
                  <c:v>0.31467570134540068</c:v>
                </c:pt>
                <c:pt idx="187">
                  <c:v>-2.4556304284492176</c:v>
                </c:pt>
                <c:pt idx="188">
                  <c:v>0.56942853802233273</c:v>
                </c:pt>
                <c:pt idx="189">
                  <c:v>0.61087343200385469</c:v>
                </c:pt>
                <c:pt idx="190">
                  <c:v>-1.0103371538405339</c:v>
                </c:pt>
                <c:pt idx="191">
                  <c:v>1.2979967781198445</c:v>
                </c:pt>
                <c:pt idx="192">
                  <c:v>-1.1314639420699466</c:v>
                </c:pt>
                <c:pt idx="193">
                  <c:v>-0.47088330085793206</c:v>
                </c:pt>
                <c:pt idx="194">
                  <c:v>1.4072155644712954</c:v>
                </c:pt>
                <c:pt idx="195">
                  <c:v>-0.31719513122836762</c:v>
                </c:pt>
                <c:pt idx="196">
                  <c:v>-1.4727089759957401E-2</c:v>
                </c:pt>
                <c:pt idx="197">
                  <c:v>-0.43514716110788143</c:v>
                </c:pt>
                <c:pt idx="198">
                  <c:v>-0.26114256087291698</c:v>
                </c:pt>
                <c:pt idx="199">
                  <c:v>-0.3083876324020931</c:v>
                </c:pt>
                <c:pt idx="200">
                  <c:v>1.0175515967353936</c:v>
                </c:pt>
                <c:pt idx="201">
                  <c:v>-0.22705683813255284</c:v>
                </c:pt>
                <c:pt idx="202">
                  <c:v>-7.6109704400760148E-2</c:v>
                </c:pt>
                <c:pt idx="203">
                  <c:v>0.6566052214976188</c:v>
                </c:pt>
                <c:pt idx="204">
                  <c:v>0.4550593618831491</c:v>
                </c:pt>
                <c:pt idx="205">
                  <c:v>-0.30243107708796035</c:v>
                </c:pt>
                <c:pt idx="206">
                  <c:v>-2.0293953703278955</c:v>
                </c:pt>
                <c:pt idx="207">
                  <c:v>-1.2751660042725623</c:v>
                </c:pt>
                <c:pt idx="208">
                  <c:v>-8.9095860356573908E-3</c:v>
                </c:pt>
                <c:pt idx="209">
                  <c:v>-2.0338828382766714</c:v>
                </c:pt>
                <c:pt idx="210">
                  <c:v>1.3200687834654894</c:v>
                </c:pt>
                <c:pt idx="211">
                  <c:v>3.0812856361817236</c:v>
                </c:pt>
                <c:pt idx="212">
                  <c:v>0.21384534243516606</c:v>
                </c:pt>
                <c:pt idx="213">
                  <c:v>2.6412018385667473</c:v>
                </c:pt>
                <c:pt idx="214">
                  <c:v>-1.1518788213573923</c:v>
                </c:pt>
                <c:pt idx="215">
                  <c:v>-1.2416380456405944</c:v>
                </c:pt>
                <c:pt idx="216">
                  <c:v>-0.6305238337040171</c:v>
                </c:pt>
                <c:pt idx="217">
                  <c:v>-0.33386986235631233</c:v>
                </c:pt>
                <c:pt idx="218">
                  <c:v>-1.1436401459443148</c:v>
                </c:pt>
                <c:pt idx="219">
                  <c:v>1.6672851057491833E-2</c:v>
                </c:pt>
                <c:pt idx="220">
                  <c:v>1.1799497331618789</c:v>
                </c:pt>
                <c:pt idx="221">
                  <c:v>0.26066104176850269</c:v>
                </c:pt>
                <c:pt idx="222">
                  <c:v>0.2704516855092205</c:v>
                </c:pt>
                <c:pt idx="223">
                  <c:v>-0.72005026683812101</c:v>
                </c:pt>
                <c:pt idx="224">
                  <c:v>-6.4066843030578191E-2</c:v>
                </c:pt>
                <c:pt idx="225">
                  <c:v>8.4322590288548049E-3</c:v>
                </c:pt>
                <c:pt idx="226">
                  <c:v>-0.33598378688996089</c:v>
                </c:pt>
                <c:pt idx="227">
                  <c:v>0.43291896848361366</c:v>
                </c:pt>
                <c:pt idx="228">
                  <c:v>-0.22599560468877922</c:v>
                </c:pt>
                <c:pt idx="229">
                  <c:v>-1.6657729136426442</c:v>
                </c:pt>
                <c:pt idx="230">
                  <c:v>0.29731653010424303</c:v>
                </c:pt>
                <c:pt idx="231">
                  <c:v>1.2576234183928778</c:v>
                </c:pt>
                <c:pt idx="232">
                  <c:v>-0.58456116967671368</c:v>
                </c:pt>
                <c:pt idx="233">
                  <c:v>0.50448482938430583</c:v>
                </c:pt>
                <c:pt idx="234">
                  <c:v>-0.73971499306804023</c:v>
                </c:pt>
                <c:pt idx="235">
                  <c:v>-1.2240876028108176</c:v>
                </c:pt>
                <c:pt idx="236">
                  <c:v>-2.9281421068014852</c:v>
                </c:pt>
                <c:pt idx="237">
                  <c:v>0.1015993916775475</c:v>
                </c:pt>
                <c:pt idx="238">
                  <c:v>1.9815336787332338</c:v>
                </c:pt>
                <c:pt idx="239">
                  <c:v>-1.5747408241743339</c:v>
                </c:pt>
                <c:pt idx="240" formatCode="General">
                  <c:v>-1.1569461720241656</c:v>
                </c:pt>
                <c:pt idx="241" formatCode="General">
                  <c:v>-0.95765480552121218</c:v>
                </c:pt>
                <c:pt idx="242" formatCode="General">
                  <c:v>0.20341329512974937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763-4302-A6C5-98F6C514B4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6745743"/>
        <c:axId val="996746223"/>
      </c:scatterChart>
      <c:valAx>
        <c:axId val="99674574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6746223"/>
        <c:crosses val="autoZero"/>
        <c:crossBetween val="midCat"/>
      </c:valAx>
      <c:valAx>
        <c:axId val="9967462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674574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sex  Residual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xVal>
            <c:numRef>
              <c:f>'Data '!$B$2:$B$244</c:f>
              <c:numCache>
                <c:formatCode>General</c:formatCode>
                <c:ptCount val="243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</c:v>
                </c:pt>
                <c:pt idx="8">
                  <c:v>1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1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1</c:v>
                </c:pt>
                <c:pt idx="18">
                  <c:v>0</c:v>
                </c:pt>
                <c:pt idx="19">
                  <c:v>1</c:v>
                </c:pt>
                <c:pt idx="20">
                  <c:v>0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0</c:v>
                </c:pt>
                <c:pt idx="31">
                  <c:v>0</c:v>
                </c:pt>
                <c:pt idx="32">
                  <c:v>1</c:v>
                </c:pt>
                <c:pt idx="33">
                  <c:v>0</c:v>
                </c:pt>
                <c:pt idx="34">
                  <c:v>1</c:v>
                </c:pt>
                <c:pt idx="35">
                  <c:v>1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1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1</c:v>
                </c:pt>
                <c:pt idx="44">
                  <c:v>1</c:v>
                </c:pt>
                <c:pt idx="45">
                  <c:v>0</c:v>
                </c:pt>
                <c:pt idx="46">
                  <c:v>1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1</c:v>
                </c:pt>
                <c:pt idx="52">
                  <c:v>1</c:v>
                </c:pt>
                <c:pt idx="53">
                  <c:v>1</c:v>
                </c:pt>
                <c:pt idx="54">
                  <c:v>1</c:v>
                </c:pt>
                <c:pt idx="55">
                  <c:v>0</c:v>
                </c:pt>
                <c:pt idx="56">
                  <c:v>0</c:v>
                </c:pt>
                <c:pt idx="57">
                  <c:v>1</c:v>
                </c:pt>
                <c:pt idx="58">
                  <c:v>1</c:v>
                </c:pt>
                <c:pt idx="59">
                  <c:v>0</c:v>
                </c:pt>
                <c:pt idx="60">
                  <c:v>0</c:v>
                </c:pt>
                <c:pt idx="61">
                  <c:v>1</c:v>
                </c:pt>
                <c:pt idx="62">
                  <c:v>1</c:v>
                </c:pt>
                <c:pt idx="63">
                  <c:v>1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1</c:v>
                </c:pt>
                <c:pt idx="72">
                  <c:v>0</c:v>
                </c:pt>
                <c:pt idx="73">
                  <c:v>1</c:v>
                </c:pt>
                <c:pt idx="74">
                  <c:v>0</c:v>
                </c:pt>
                <c:pt idx="75">
                  <c:v>1</c:v>
                </c:pt>
                <c:pt idx="76">
                  <c:v>1</c:v>
                </c:pt>
                <c:pt idx="77">
                  <c:v>0</c:v>
                </c:pt>
                <c:pt idx="78">
                  <c:v>1</c:v>
                </c:pt>
                <c:pt idx="79">
                  <c:v>0</c:v>
                </c:pt>
                <c:pt idx="80">
                  <c:v>0</c:v>
                </c:pt>
                <c:pt idx="81">
                  <c:v>1</c:v>
                </c:pt>
                <c:pt idx="82">
                  <c:v>0</c:v>
                </c:pt>
                <c:pt idx="83">
                  <c:v>1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1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1</c:v>
                </c:pt>
                <c:pt idx="94">
                  <c:v>0</c:v>
                </c:pt>
                <c:pt idx="95">
                  <c:v>0</c:v>
                </c:pt>
                <c:pt idx="96">
                  <c:v>1</c:v>
                </c:pt>
                <c:pt idx="97">
                  <c:v>1</c:v>
                </c:pt>
                <c:pt idx="98">
                  <c:v>0</c:v>
                </c:pt>
                <c:pt idx="99">
                  <c:v>0</c:v>
                </c:pt>
                <c:pt idx="100">
                  <c:v>1</c:v>
                </c:pt>
                <c:pt idx="101">
                  <c:v>1</c:v>
                </c:pt>
                <c:pt idx="102">
                  <c:v>1</c:v>
                </c:pt>
                <c:pt idx="103">
                  <c:v>1</c:v>
                </c:pt>
                <c:pt idx="104">
                  <c:v>1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1</c:v>
                </c:pt>
                <c:pt idx="110">
                  <c:v>1</c:v>
                </c:pt>
                <c:pt idx="111">
                  <c:v>1</c:v>
                </c:pt>
                <c:pt idx="112">
                  <c:v>1</c:v>
                </c:pt>
                <c:pt idx="113">
                  <c:v>0</c:v>
                </c:pt>
                <c:pt idx="114">
                  <c:v>0</c:v>
                </c:pt>
                <c:pt idx="115">
                  <c:v>1</c:v>
                </c:pt>
                <c:pt idx="116">
                  <c:v>0</c:v>
                </c:pt>
                <c:pt idx="117">
                  <c:v>1</c:v>
                </c:pt>
                <c:pt idx="118">
                  <c:v>1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1</c:v>
                </c:pt>
                <c:pt idx="128">
                  <c:v>0</c:v>
                </c:pt>
                <c:pt idx="129">
                  <c:v>1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1</c:v>
                </c:pt>
                <c:pt idx="136">
                  <c:v>0</c:v>
                </c:pt>
                <c:pt idx="137">
                  <c:v>0</c:v>
                </c:pt>
                <c:pt idx="138">
                  <c:v>1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1</c:v>
                </c:pt>
                <c:pt idx="143">
                  <c:v>0</c:v>
                </c:pt>
                <c:pt idx="144">
                  <c:v>1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1</c:v>
                </c:pt>
                <c:pt idx="149">
                  <c:v>1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1</c:v>
                </c:pt>
                <c:pt idx="156">
                  <c:v>0</c:v>
                </c:pt>
                <c:pt idx="157">
                  <c:v>0</c:v>
                </c:pt>
                <c:pt idx="158">
                  <c:v>1</c:v>
                </c:pt>
                <c:pt idx="159">
                  <c:v>1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1</c:v>
                </c:pt>
                <c:pt idx="167">
                  <c:v>0</c:v>
                </c:pt>
                <c:pt idx="168">
                  <c:v>1</c:v>
                </c:pt>
                <c:pt idx="169">
                  <c:v>0</c:v>
                </c:pt>
                <c:pt idx="170">
                  <c:v>0</c:v>
                </c:pt>
                <c:pt idx="171">
                  <c:v>1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1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1</c:v>
                </c:pt>
                <c:pt idx="186">
                  <c:v>0</c:v>
                </c:pt>
                <c:pt idx="187">
                  <c:v>1</c:v>
                </c:pt>
                <c:pt idx="188">
                  <c:v>0</c:v>
                </c:pt>
                <c:pt idx="189">
                  <c:v>1</c:v>
                </c:pt>
                <c:pt idx="190">
                  <c:v>0</c:v>
                </c:pt>
                <c:pt idx="191">
                  <c:v>0</c:v>
                </c:pt>
                <c:pt idx="192">
                  <c:v>1</c:v>
                </c:pt>
                <c:pt idx="193">
                  <c:v>0</c:v>
                </c:pt>
                <c:pt idx="194">
                  <c:v>1</c:v>
                </c:pt>
                <c:pt idx="195">
                  <c:v>0</c:v>
                </c:pt>
                <c:pt idx="196">
                  <c:v>1</c:v>
                </c:pt>
                <c:pt idx="197">
                  <c:v>0</c:v>
                </c:pt>
                <c:pt idx="198">
                  <c:v>1</c:v>
                </c:pt>
                <c:pt idx="199">
                  <c:v>1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1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1</c:v>
                </c:pt>
                <c:pt idx="209">
                  <c:v>1</c:v>
                </c:pt>
                <c:pt idx="210">
                  <c:v>0</c:v>
                </c:pt>
                <c:pt idx="211">
                  <c:v>0</c:v>
                </c:pt>
                <c:pt idx="212">
                  <c:v>1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1</c:v>
                </c:pt>
                <c:pt idx="226">
                  <c:v>1</c:v>
                </c:pt>
                <c:pt idx="227">
                  <c:v>1</c:v>
                </c:pt>
                <c:pt idx="228">
                  <c:v>1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1</c:v>
                </c:pt>
                <c:pt idx="237">
                  <c:v>1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</c:numCache>
            </c:numRef>
          </c:xVal>
          <c:yVal>
            <c:numRef>
              <c:f>'Model 3'!$O$4:$O$246</c:f>
              <c:numCache>
                <c:formatCode>0.00</c:formatCode>
                <c:ptCount val="243"/>
                <c:pt idx="0">
                  <c:v>-1.7264916373525201</c:v>
                </c:pt>
                <c:pt idx="1">
                  <c:v>-0.59039632965188393</c:v>
                </c:pt>
                <c:pt idx="2">
                  <c:v>0.24214260491435446</c:v>
                </c:pt>
                <c:pt idx="3">
                  <c:v>-2.3868707219409036E-2</c:v>
                </c:pt>
                <c:pt idx="4">
                  <c:v>-0.19626340734111958</c:v>
                </c:pt>
                <c:pt idx="5">
                  <c:v>0.87193513497083242</c:v>
                </c:pt>
                <c:pt idx="6">
                  <c:v>7.3933025265819463E-2</c:v>
                </c:pt>
                <c:pt idx="7">
                  <c:v>-0.86819261517346735</c:v>
                </c:pt>
                <c:pt idx="8">
                  <c:v>-0.55808017813340172</c:v>
                </c:pt>
                <c:pt idx="9">
                  <c:v>0.7364690137140939</c:v>
                </c:pt>
                <c:pt idx="10">
                  <c:v>-0.35769692770050154</c:v>
                </c:pt>
                <c:pt idx="11">
                  <c:v>0.18627552722511886</c:v>
                </c:pt>
                <c:pt idx="12">
                  <c:v>-0.98395976621820247</c:v>
                </c:pt>
                <c:pt idx="13">
                  <c:v>-0.19034388012986092</c:v>
                </c:pt>
                <c:pt idx="14">
                  <c:v>0.48745549491898155</c:v>
                </c:pt>
                <c:pt idx="15">
                  <c:v>0.78441322693343984</c:v>
                </c:pt>
                <c:pt idx="16">
                  <c:v>-0.6137446503283428</c:v>
                </c:pt>
                <c:pt idx="17">
                  <c:v>0.89780485691504408</c:v>
                </c:pt>
                <c:pt idx="18">
                  <c:v>0.58930675787407738</c:v>
                </c:pt>
                <c:pt idx="19">
                  <c:v>0.22303754806680631</c:v>
                </c:pt>
                <c:pt idx="20">
                  <c:v>1.3868940666117968</c:v>
                </c:pt>
                <c:pt idx="21">
                  <c:v>-0.20117377943789139</c:v>
                </c:pt>
                <c:pt idx="22">
                  <c:v>-0.29439552116604473</c:v>
                </c:pt>
                <c:pt idx="23">
                  <c:v>2.5046847324686254</c:v>
                </c:pt>
                <c:pt idx="24">
                  <c:v>0.30749612618779087</c:v>
                </c:pt>
                <c:pt idx="25">
                  <c:v>-0.6948997451299137</c:v>
                </c:pt>
                <c:pt idx="26">
                  <c:v>-0.26349507605702982</c:v>
                </c:pt>
                <c:pt idx="27">
                  <c:v>-0.19928949737896495</c:v>
                </c:pt>
                <c:pt idx="28">
                  <c:v>1.2499865851366683</c:v>
                </c:pt>
                <c:pt idx="29">
                  <c:v>0.10925500049440551</c:v>
                </c:pt>
                <c:pt idx="30">
                  <c:v>-0.45281079583613337</c:v>
                </c:pt>
                <c:pt idx="31">
                  <c:v>-0.58588652819778897</c:v>
                </c:pt>
                <c:pt idx="32">
                  <c:v>0.54264265657134692</c:v>
                </c:pt>
                <c:pt idx="33">
                  <c:v>-0.89112177518815106</c:v>
                </c:pt>
                <c:pt idx="34">
                  <c:v>0.59011286222198667</c:v>
                </c:pt>
                <c:pt idx="35">
                  <c:v>0.15106545499003721</c:v>
                </c:pt>
                <c:pt idx="36">
                  <c:v>-0.71717978801730542</c:v>
                </c:pt>
                <c:pt idx="37">
                  <c:v>0.25998731106037987</c:v>
                </c:pt>
                <c:pt idx="38">
                  <c:v>-0.63189931339053507</c:v>
                </c:pt>
                <c:pt idx="39">
                  <c:v>0.87029748106525506</c:v>
                </c:pt>
                <c:pt idx="40">
                  <c:v>-0.4516863964833675</c:v>
                </c:pt>
                <c:pt idx="41">
                  <c:v>-0.20657650225239887</c:v>
                </c:pt>
                <c:pt idx="42">
                  <c:v>0.64578178737523384</c:v>
                </c:pt>
                <c:pt idx="43">
                  <c:v>-0.69198914620041507</c:v>
                </c:pt>
                <c:pt idx="44">
                  <c:v>1.279449095198899</c:v>
                </c:pt>
                <c:pt idx="45">
                  <c:v>0.17505492377290377</c:v>
                </c:pt>
                <c:pt idx="46">
                  <c:v>1.8030402473147009</c:v>
                </c:pt>
                <c:pt idx="47">
                  <c:v>1.4906091579104714</c:v>
                </c:pt>
                <c:pt idx="48">
                  <c:v>-1.9197839586630181</c:v>
                </c:pt>
                <c:pt idx="49">
                  <c:v>0.19865991593395727</c:v>
                </c:pt>
                <c:pt idx="50">
                  <c:v>0.21796974347713327</c:v>
                </c:pt>
                <c:pt idx="51">
                  <c:v>0.49612215256371295</c:v>
                </c:pt>
                <c:pt idx="52">
                  <c:v>0.42876451311501551</c:v>
                </c:pt>
                <c:pt idx="53">
                  <c:v>-0.47653833804791068</c:v>
                </c:pt>
                <c:pt idx="54">
                  <c:v>0.4764417434368946</c:v>
                </c:pt>
                <c:pt idx="55">
                  <c:v>0.5717509613998466</c:v>
                </c:pt>
                <c:pt idx="56">
                  <c:v>-1.8589349859498752</c:v>
                </c:pt>
                <c:pt idx="57">
                  <c:v>-2.0290239875404801</c:v>
                </c:pt>
                <c:pt idx="58">
                  <c:v>-0.21913241705169662</c:v>
                </c:pt>
                <c:pt idx="59">
                  <c:v>0.81906800996733331</c:v>
                </c:pt>
                <c:pt idx="60">
                  <c:v>0.37636686671816832</c:v>
                </c:pt>
                <c:pt idx="61">
                  <c:v>-0.22179173646732631</c:v>
                </c:pt>
                <c:pt idx="62">
                  <c:v>2.163997605003054E-2</c:v>
                </c:pt>
                <c:pt idx="63">
                  <c:v>0.76302679571402177</c:v>
                </c:pt>
                <c:pt idx="64">
                  <c:v>-0.19803734788189908</c:v>
                </c:pt>
                <c:pt idx="65">
                  <c:v>7.6856930194007855E-2</c:v>
                </c:pt>
                <c:pt idx="66">
                  <c:v>-0.11860109984411027</c:v>
                </c:pt>
                <c:pt idx="67">
                  <c:v>-6.5923789445083925E-2</c:v>
                </c:pt>
                <c:pt idx="68">
                  <c:v>-0.90121606095633755</c:v>
                </c:pt>
                <c:pt idx="69">
                  <c:v>-0.24509569884038296</c:v>
                </c:pt>
                <c:pt idx="70">
                  <c:v>-0.16602811838734133</c:v>
                </c:pt>
                <c:pt idx="71">
                  <c:v>0.17676851545019012</c:v>
                </c:pt>
                <c:pt idx="72">
                  <c:v>-0.3482648476372181</c:v>
                </c:pt>
                <c:pt idx="73">
                  <c:v>1.6609187028206391</c:v>
                </c:pt>
                <c:pt idx="74">
                  <c:v>-0.22619875377606213</c:v>
                </c:pt>
                <c:pt idx="75">
                  <c:v>-0.74345396573457867</c:v>
                </c:pt>
                <c:pt idx="76">
                  <c:v>0.47014219240495514</c:v>
                </c:pt>
                <c:pt idx="77">
                  <c:v>4.765806521539373E-2</c:v>
                </c:pt>
                <c:pt idx="78">
                  <c:v>-0.18093726571172253</c:v>
                </c:pt>
                <c:pt idx="79">
                  <c:v>4.5539962772127573E-2</c:v>
                </c:pt>
                <c:pt idx="80">
                  <c:v>0.21578515598022552</c:v>
                </c:pt>
                <c:pt idx="81">
                  <c:v>0.79502454301798187</c:v>
                </c:pt>
                <c:pt idx="82">
                  <c:v>-1.0950379833263302E-2</c:v>
                </c:pt>
                <c:pt idx="83">
                  <c:v>0.96566477113083415</c:v>
                </c:pt>
                <c:pt idx="84">
                  <c:v>-0.51076987830395293</c:v>
                </c:pt>
                <c:pt idx="85">
                  <c:v>0.46294118409714091</c:v>
                </c:pt>
                <c:pt idx="86">
                  <c:v>-0.26223097080352176</c:v>
                </c:pt>
                <c:pt idx="87">
                  <c:v>1.2420641938143553</c:v>
                </c:pt>
                <c:pt idx="88">
                  <c:v>2.4849437954320601</c:v>
                </c:pt>
                <c:pt idx="89">
                  <c:v>-2.986531588098007E-2</c:v>
                </c:pt>
                <c:pt idx="90">
                  <c:v>-0.77332210061288231</c:v>
                </c:pt>
                <c:pt idx="91">
                  <c:v>0.25527117040846514</c:v>
                </c:pt>
                <c:pt idx="92">
                  <c:v>-0.61518294905713855</c:v>
                </c:pt>
                <c:pt idx="93">
                  <c:v>1.6867979823735206</c:v>
                </c:pt>
                <c:pt idx="94">
                  <c:v>-5.3570541801931881E-2</c:v>
                </c:pt>
                <c:pt idx="95">
                  <c:v>-0.45300575772065166</c:v>
                </c:pt>
                <c:pt idx="96">
                  <c:v>0.38624764639583864</c:v>
                </c:pt>
                <c:pt idx="97">
                  <c:v>-0.67384783177990037</c:v>
                </c:pt>
                <c:pt idx="98">
                  <c:v>-2.173915020494066E-2</c:v>
                </c:pt>
                <c:pt idx="99">
                  <c:v>-0.79769654409007007</c:v>
                </c:pt>
                <c:pt idx="100">
                  <c:v>0.35606522653526396</c:v>
                </c:pt>
                <c:pt idx="101">
                  <c:v>0.47555275289908217</c:v>
                </c:pt>
                <c:pt idx="102">
                  <c:v>-2.8110391049385948</c:v>
                </c:pt>
                <c:pt idx="103">
                  <c:v>0.41095981314309071</c:v>
                </c:pt>
                <c:pt idx="104">
                  <c:v>1.0693416403162539</c:v>
                </c:pt>
                <c:pt idx="105">
                  <c:v>-0.72814268786585745</c:v>
                </c:pt>
                <c:pt idx="106">
                  <c:v>1.207482872989325</c:v>
                </c:pt>
                <c:pt idx="107">
                  <c:v>0.99182062098863621</c:v>
                </c:pt>
                <c:pt idx="108">
                  <c:v>1.0366796766456483</c:v>
                </c:pt>
                <c:pt idx="109">
                  <c:v>1.6967057588476653</c:v>
                </c:pt>
                <c:pt idx="110">
                  <c:v>0.67702034369711495</c:v>
                </c:pt>
                <c:pt idx="111">
                  <c:v>-0.54384738417105583</c:v>
                </c:pt>
                <c:pt idx="112">
                  <c:v>-0.86866206015593406</c:v>
                </c:pt>
                <c:pt idx="113">
                  <c:v>-0.80936209875334697</c:v>
                </c:pt>
                <c:pt idx="114">
                  <c:v>0.26407623192364804</c:v>
                </c:pt>
                <c:pt idx="115">
                  <c:v>0.73329397268133167</c:v>
                </c:pt>
                <c:pt idx="116">
                  <c:v>0.79382648046168036</c:v>
                </c:pt>
                <c:pt idx="117">
                  <c:v>-0.57180396579319481</c:v>
                </c:pt>
                <c:pt idx="118">
                  <c:v>-0.4398715099798951</c:v>
                </c:pt>
                <c:pt idx="119">
                  <c:v>-0.77204415297756057</c:v>
                </c:pt>
                <c:pt idx="120">
                  <c:v>0.17429178717972471</c:v>
                </c:pt>
                <c:pt idx="121">
                  <c:v>-0.65334727893766664</c:v>
                </c:pt>
                <c:pt idx="122">
                  <c:v>0.12163246776409498</c:v>
                </c:pt>
                <c:pt idx="123">
                  <c:v>-0.53793727924462598</c:v>
                </c:pt>
                <c:pt idx="124">
                  <c:v>0.2754074915878939</c:v>
                </c:pt>
                <c:pt idx="125">
                  <c:v>-0.38430638191503785</c:v>
                </c:pt>
                <c:pt idx="126">
                  <c:v>-0.35639691221811742</c:v>
                </c:pt>
                <c:pt idx="127">
                  <c:v>-0.43720924444630205</c:v>
                </c:pt>
                <c:pt idx="128">
                  <c:v>-0.14073054290347065</c:v>
                </c:pt>
                <c:pt idx="129">
                  <c:v>-1.1826924679766622</c:v>
                </c:pt>
                <c:pt idx="130">
                  <c:v>-1.3334717811010153</c:v>
                </c:pt>
                <c:pt idx="131">
                  <c:v>-0.15012406415053148</c:v>
                </c:pt>
                <c:pt idx="132">
                  <c:v>-0.62090234948818601</c:v>
                </c:pt>
                <c:pt idx="133">
                  <c:v>-0.22382011531037893</c:v>
                </c:pt>
                <c:pt idx="134">
                  <c:v>0.45966007282433807</c:v>
                </c:pt>
                <c:pt idx="135">
                  <c:v>-0.61974523289457695</c:v>
                </c:pt>
                <c:pt idx="136">
                  <c:v>-4.1589575827046144E-2</c:v>
                </c:pt>
                <c:pt idx="137">
                  <c:v>-0.40227385604794286</c:v>
                </c:pt>
                <c:pt idx="138">
                  <c:v>-0.45941015188367906</c:v>
                </c:pt>
                <c:pt idx="139">
                  <c:v>0.44120191290982902</c:v>
                </c:pt>
                <c:pt idx="140">
                  <c:v>0.78425184805326698</c:v>
                </c:pt>
                <c:pt idx="141">
                  <c:v>1.725096279548902</c:v>
                </c:pt>
                <c:pt idx="142">
                  <c:v>-0.44936730026344485</c:v>
                </c:pt>
                <c:pt idx="143">
                  <c:v>0.67534853185655042</c:v>
                </c:pt>
                <c:pt idx="144">
                  <c:v>-0.3175513845567508</c:v>
                </c:pt>
                <c:pt idx="145">
                  <c:v>-0.35463803791150261</c:v>
                </c:pt>
                <c:pt idx="146">
                  <c:v>-1.6423095194067499</c:v>
                </c:pt>
                <c:pt idx="147">
                  <c:v>-0.55699632753913519</c:v>
                </c:pt>
                <c:pt idx="148">
                  <c:v>-0.22536607270982678</c:v>
                </c:pt>
                <c:pt idx="149">
                  <c:v>0.25896725611253846</c:v>
                </c:pt>
                <c:pt idx="150">
                  <c:v>7.3507191451485987E-2</c:v>
                </c:pt>
                <c:pt idx="151">
                  <c:v>-0.3377380380229531</c:v>
                </c:pt>
                <c:pt idx="152">
                  <c:v>-0.16378251266984334</c:v>
                </c:pt>
                <c:pt idx="153">
                  <c:v>-1.7681940882324496</c:v>
                </c:pt>
                <c:pt idx="154">
                  <c:v>-1.3168666381131073</c:v>
                </c:pt>
                <c:pt idx="155">
                  <c:v>0.66099755344402755</c:v>
                </c:pt>
                <c:pt idx="156">
                  <c:v>-1.3505737559013546</c:v>
                </c:pt>
                <c:pt idx="157">
                  <c:v>-9.4975594485247061E-2</c:v>
                </c:pt>
                <c:pt idx="158">
                  <c:v>0.21342024976664975</c:v>
                </c:pt>
                <c:pt idx="159">
                  <c:v>-1.0071691409600856</c:v>
                </c:pt>
                <c:pt idx="160">
                  <c:v>1.9786816132402851E-2</c:v>
                </c:pt>
                <c:pt idx="161">
                  <c:v>0.20663934723982713</c:v>
                </c:pt>
                <c:pt idx="162">
                  <c:v>-0.83893406595632047</c:v>
                </c:pt>
                <c:pt idx="163">
                  <c:v>-0.40194361670101841</c:v>
                </c:pt>
                <c:pt idx="164">
                  <c:v>0.29765810474564658</c:v>
                </c:pt>
                <c:pt idx="165">
                  <c:v>-0.1092714850268357</c:v>
                </c:pt>
                <c:pt idx="166">
                  <c:v>-0.81816239877830466</c:v>
                </c:pt>
                <c:pt idx="167">
                  <c:v>5.5758936274979298E-2</c:v>
                </c:pt>
                <c:pt idx="168">
                  <c:v>-0.34205195779585895</c:v>
                </c:pt>
                <c:pt idx="169">
                  <c:v>4.4171243458372089E-2</c:v>
                </c:pt>
                <c:pt idx="170">
                  <c:v>4.1085794195504741</c:v>
                </c:pt>
                <c:pt idx="171">
                  <c:v>0.74936832624424632</c:v>
                </c:pt>
                <c:pt idx="172">
                  <c:v>3.4506995033981824</c:v>
                </c:pt>
                <c:pt idx="173">
                  <c:v>-0.84203172524947822</c:v>
                </c:pt>
                <c:pt idx="174">
                  <c:v>1.3971004034730559</c:v>
                </c:pt>
                <c:pt idx="175">
                  <c:v>-1.011172692325903</c:v>
                </c:pt>
                <c:pt idx="176">
                  <c:v>-0.70392896297625285</c:v>
                </c:pt>
                <c:pt idx="177">
                  <c:v>-0.38195686989948374</c:v>
                </c:pt>
                <c:pt idx="178">
                  <c:v>2.0445200567213782</c:v>
                </c:pt>
                <c:pt idx="179">
                  <c:v>-0.73451923808039332</c:v>
                </c:pt>
                <c:pt idx="180">
                  <c:v>-0.95858764574585065</c:v>
                </c:pt>
                <c:pt idx="181">
                  <c:v>2.4324264075992241</c:v>
                </c:pt>
                <c:pt idx="182">
                  <c:v>-1.9727913060926525</c:v>
                </c:pt>
                <c:pt idx="183">
                  <c:v>2.945353594289724</c:v>
                </c:pt>
                <c:pt idx="184">
                  <c:v>-1.8434854524541384</c:v>
                </c:pt>
                <c:pt idx="185">
                  <c:v>1.4201769865879288</c:v>
                </c:pt>
                <c:pt idx="186">
                  <c:v>0.30148440689547495</c:v>
                </c:pt>
                <c:pt idx="187">
                  <c:v>-2.4190579812728821</c:v>
                </c:pt>
                <c:pt idx="188">
                  <c:v>0.56113932066706296</c:v>
                </c:pt>
                <c:pt idx="189">
                  <c:v>0.62805299624110544</c:v>
                </c:pt>
                <c:pt idx="190">
                  <c:v>-0.9962050319589828</c:v>
                </c:pt>
                <c:pt idx="191">
                  <c:v>1.3365572472189653</c:v>
                </c:pt>
                <c:pt idx="192">
                  <c:v>-1.0739945618176994</c:v>
                </c:pt>
                <c:pt idx="193">
                  <c:v>-0.39031176818868785</c:v>
                </c:pt>
                <c:pt idx="194">
                  <c:v>1.4858262663026771</c:v>
                </c:pt>
                <c:pt idx="195">
                  <c:v>-0.30575374231967212</c:v>
                </c:pt>
                <c:pt idx="196">
                  <c:v>7.5006870642571277E-2</c:v>
                </c:pt>
                <c:pt idx="197">
                  <c:v>-0.40560803048379235</c:v>
                </c:pt>
                <c:pt idx="198">
                  <c:v>-0.21044276631393899</c:v>
                </c:pt>
                <c:pt idx="199">
                  <c:v>-0.22430442995958666</c:v>
                </c:pt>
                <c:pt idx="200">
                  <c:v>1.1086217289442142</c:v>
                </c:pt>
                <c:pt idx="201">
                  <c:v>-0.1758935744664436</c:v>
                </c:pt>
                <c:pt idx="202">
                  <c:v>-3.1470659704265991E-2</c:v>
                </c:pt>
                <c:pt idx="203">
                  <c:v>0.76068738186545826</c:v>
                </c:pt>
                <c:pt idx="204">
                  <c:v>0.51582993834435209</c:v>
                </c:pt>
                <c:pt idx="205">
                  <c:v>-0.19456893988666568</c:v>
                </c:pt>
                <c:pt idx="206">
                  <c:v>-1.9269173633737093</c:v>
                </c:pt>
                <c:pt idx="207">
                  <c:v>-1.1794246084858027</c:v>
                </c:pt>
                <c:pt idx="208">
                  <c:v>7.3056710246196754E-2</c:v>
                </c:pt>
                <c:pt idx="209">
                  <c:v>-1.932206231082088</c:v>
                </c:pt>
                <c:pt idx="210">
                  <c:v>1.4454350340179967</c:v>
                </c:pt>
                <c:pt idx="211">
                  <c:v>3.0834028118486803</c:v>
                </c:pt>
                <c:pt idx="212">
                  <c:v>0.29490252623764768</c:v>
                </c:pt>
                <c:pt idx="213">
                  <c:v>2.7119549892925745</c:v>
                </c:pt>
                <c:pt idx="214">
                  <c:v>-1.070162085363993</c:v>
                </c:pt>
                <c:pt idx="215">
                  <c:v>-1.1040440992642138</c:v>
                </c:pt>
                <c:pt idx="216">
                  <c:v>-0.51217940607717161</c:v>
                </c:pt>
                <c:pt idx="217">
                  <c:v>-0.20866252679694819</c:v>
                </c:pt>
                <c:pt idx="218">
                  <c:v>-1.0601423530828136</c:v>
                </c:pt>
                <c:pt idx="219">
                  <c:v>-5.3990835229663858E-2</c:v>
                </c:pt>
                <c:pt idx="220">
                  <c:v>1.0727474839157249</c:v>
                </c:pt>
                <c:pt idx="221">
                  <c:v>0.18012265666290839</c:v>
                </c:pt>
                <c:pt idx="222">
                  <c:v>9.1694234247092332E-2</c:v>
                </c:pt>
                <c:pt idx="223">
                  <c:v>-0.79295999572137355</c:v>
                </c:pt>
                <c:pt idx="224">
                  <c:v>-0.17634942672028453</c:v>
                </c:pt>
                <c:pt idx="225">
                  <c:v>-9.2834020499043213E-2</c:v>
                </c:pt>
                <c:pt idx="226">
                  <c:v>-0.28416846235063797</c:v>
                </c:pt>
                <c:pt idx="227">
                  <c:v>0.46500272112094931</c:v>
                </c:pt>
                <c:pt idx="228">
                  <c:v>-0.16071419626364492</c:v>
                </c:pt>
                <c:pt idx="229">
                  <c:v>-1.5370554249308817</c:v>
                </c:pt>
                <c:pt idx="230">
                  <c:v>0.42460871833526515</c:v>
                </c:pt>
                <c:pt idx="231">
                  <c:v>1.2926840687567864</c:v>
                </c:pt>
                <c:pt idx="232">
                  <c:v>-0.54800315758207385</c:v>
                </c:pt>
                <c:pt idx="233">
                  <c:v>0.61580591746462598</c:v>
                </c:pt>
                <c:pt idx="234">
                  <c:v>-0.70190917953112453</c:v>
                </c:pt>
                <c:pt idx="235">
                  <c:v>-1.1075435744078277</c:v>
                </c:pt>
                <c:pt idx="236">
                  <c:v>-2.8476595400802731</c:v>
                </c:pt>
                <c:pt idx="237">
                  <c:v>7.5449903684738473E-2</c:v>
                </c:pt>
                <c:pt idx="238">
                  <c:v>2.0017982108282943</c:v>
                </c:pt>
                <c:pt idx="239">
                  <c:v>-1.5184792376033669</c:v>
                </c:pt>
                <c:pt idx="240">
                  <c:v>-1.0583526586550613</c:v>
                </c:pt>
                <c:pt idx="241">
                  <c:v>-0.93366393652378177</c:v>
                </c:pt>
                <c:pt idx="242">
                  <c:v>0.22843009665536318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F00B-42E7-A802-FFD69392F1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6732783"/>
        <c:axId val="996721263"/>
      </c:scatterChart>
      <c:valAx>
        <c:axId val="99673278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sex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996721263"/>
        <c:crosses val="autoZero"/>
        <c:crossBetween val="midCat"/>
      </c:valAx>
      <c:valAx>
        <c:axId val="996721263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Residuals</a:t>
                </a:r>
              </a:p>
            </c:rich>
          </c:tx>
          <c:overlay val="0"/>
        </c:title>
        <c:numFmt formatCode="0.00" sourceLinked="1"/>
        <c:majorTickMark val="out"/>
        <c:minorTickMark val="none"/>
        <c:tickLblPos val="nextTo"/>
        <c:crossAx val="996732783"/>
        <c:crosses val="autoZero"/>
        <c:crossBetween val="midCat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smoker  Residual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xVal>
            <c:numRef>
              <c:f>'Data '!$D$2:$D$244</c:f>
              <c:numCache>
                <c:formatCode>General</c:formatCode>
                <c:ptCount val="243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0</c:v>
                </c:pt>
                <c:pt idx="4">
                  <c:v>1</c:v>
                </c:pt>
                <c:pt idx="5">
                  <c:v>1</c:v>
                </c:pt>
                <c:pt idx="6">
                  <c:v>0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0</c:v>
                </c:pt>
                <c:pt idx="11">
                  <c:v>1</c:v>
                </c:pt>
                <c:pt idx="12">
                  <c:v>1</c:v>
                </c:pt>
                <c:pt idx="13">
                  <c:v>0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0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0</c:v>
                </c:pt>
                <c:pt idx="26">
                  <c:v>1</c:v>
                </c:pt>
                <c:pt idx="27">
                  <c:v>0</c:v>
                </c:pt>
                <c:pt idx="28">
                  <c:v>0</c:v>
                </c:pt>
                <c:pt idx="29">
                  <c:v>1</c:v>
                </c:pt>
                <c:pt idx="30">
                  <c:v>1</c:v>
                </c:pt>
                <c:pt idx="31">
                  <c:v>0</c:v>
                </c:pt>
                <c:pt idx="32">
                  <c:v>1</c:v>
                </c:pt>
                <c:pt idx="33">
                  <c:v>0</c:v>
                </c:pt>
                <c:pt idx="34">
                  <c:v>0</c:v>
                </c:pt>
                <c:pt idx="35">
                  <c:v>1</c:v>
                </c:pt>
                <c:pt idx="36">
                  <c:v>0</c:v>
                </c:pt>
                <c:pt idx="37">
                  <c:v>1</c:v>
                </c:pt>
                <c:pt idx="38">
                  <c:v>1</c:v>
                </c:pt>
                <c:pt idx="39">
                  <c:v>1</c:v>
                </c:pt>
                <c:pt idx="40">
                  <c:v>1</c:v>
                </c:pt>
                <c:pt idx="41">
                  <c:v>0</c:v>
                </c:pt>
                <c:pt idx="42">
                  <c:v>0</c:v>
                </c:pt>
                <c:pt idx="43">
                  <c:v>1</c:v>
                </c:pt>
                <c:pt idx="44">
                  <c:v>1</c:v>
                </c:pt>
                <c:pt idx="45">
                  <c:v>1</c:v>
                </c:pt>
                <c:pt idx="46">
                  <c:v>1</c:v>
                </c:pt>
                <c:pt idx="47">
                  <c:v>1</c:v>
                </c:pt>
                <c:pt idx="48">
                  <c:v>0</c:v>
                </c:pt>
                <c:pt idx="49">
                  <c:v>1</c:v>
                </c:pt>
                <c:pt idx="50">
                  <c:v>1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1</c:v>
                </c:pt>
                <c:pt idx="56">
                  <c:v>1</c:v>
                </c:pt>
                <c:pt idx="57">
                  <c:v>1</c:v>
                </c:pt>
                <c:pt idx="58">
                  <c:v>0</c:v>
                </c:pt>
                <c:pt idx="59">
                  <c:v>1</c:v>
                </c:pt>
                <c:pt idx="60">
                  <c:v>1</c:v>
                </c:pt>
                <c:pt idx="61">
                  <c:v>1</c:v>
                </c:pt>
                <c:pt idx="62">
                  <c:v>1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1</c:v>
                </c:pt>
                <c:pt idx="68">
                  <c:v>1</c:v>
                </c:pt>
                <c:pt idx="69">
                  <c:v>1</c:v>
                </c:pt>
                <c:pt idx="70">
                  <c:v>1</c:v>
                </c:pt>
                <c:pt idx="71">
                  <c:v>1</c:v>
                </c:pt>
                <c:pt idx="72">
                  <c:v>1</c:v>
                </c:pt>
                <c:pt idx="73">
                  <c:v>0</c:v>
                </c:pt>
                <c:pt idx="74">
                  <c:v>0</c:v>
                </c:pt>
                <c:pt idx="75">
                  <c:v>1</c:v>
                </c:pt>
                <c:pt idx="76">
                  <c:v>1</c:v>
                </c:pt>
                <c:pt idx="77">
                  <c:v>1</c:v>
                </c:pt>
                <c:pt idx="78">
                  <c:v>1</c:v>
                </c:pt>
                <c:pt idx="79">
                  <c:v>0</c:v>
                </c:pt>
                <c:pt idx="80">
                  <c:v>1</c:v>
                </c:pt>
                <c:pt idx="81">
                  <c:v>1</c:v>
                </c:pt>
                <c:pt idx="82">
                  <c:v>0</c:v>
                </c:pt>
                <c:pt idx="83">
                  <c:v>0</c:v>
                </c:pt>
                <c:pt idx="84">
                  <c:v>1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1</c:v>
                </c:pt>
                <c:pt idx="90">
                  <c:v>0</c:v>
                </c:pt>
                <c:pt idx="91">
                  <c:v>1</c:v>
                </c:pt>
                <c:pt idx="92">
                  <c:v>1</c:v>
                </c:pt>
                <c:pt idx="93">
                  <c:v>1</c:v>
                </c:pt>
                <c:pt idx="94">
                  <c:v>0</c:v>
                </c:pt>
                <c:pt idx="95">
                  <c:v>1</c:v>
                </c:pt>
                <c:pt idx="96">
                  <c:v>1</c:v>
                </c:pt>
                <c:pt idx="97">
                  <c:v>0</c:v>
                </c:pt>
                <c:pt idx="98">
                  <c:v>1</c:v>
                </c:pt>
                <c:pt idx="99">
                  <c:v>1</c:v>
                </c:pt>
                <c:pt idx="100">
                  <c:v>0</c:v>
                </c:pt>
                <c:pt idx="101">
                  <c:v>0</c:v>
                </c:pt>
                <c:pt idx="102">
                  <c:v>1</c:v>
                </c:pt>
                <c:pt idx="103">
                  <c:v>1</c:v>
                </c:pt>
                <c:pt idx="104">
                  <c:v>0</c:v>
                </c:pt>
                <c:pt idx="105">
                  <c:v>1</c:v>
                </c:pt>
                <c:pt idx="106">
                  <c:v>0</c:v>
                </c:pt>
                <c:pt idx="107">
                  <c:v>1</c:v>
                </c:pt>
                <c:pt idx="108">
                  <c:v>0</c:v>
                </c:pt>
                <c:pt idx="109">
                  <c:v>1</c:v>
                </c:pt>
                <c:pt idx="110">
                  <c:v>1</c:v>
                </c:pt>
                <c:pt idx="111">
                  <c:v>1</c:v>
                </c:pt>
                <c:pt idx="112">
                  <c:v>1</c:v>
                </c:pt>
                <c:pt idx="113">
                  <c:v>1</c:v>
                </c:pt>
                <c:pt idx="114">
                  <c:v>1</c:v>
                </c:pt>
                <c:pt idx="115">
                  <c:v>1</c:v>
                </c:pt>
                <c:pt idx="116">
                  <c:v>1</c:v>
                </c:pt>
                <c:pt idx="117">
                  <c:v>1</c:v>
                </c:pt>
                <c:pt idx="118">
                  <c:v>0</c:v>
                </c:pt>
                <c:pt idx="119">
                  <c:v>1</c:v>
                </c:pt>
                <c:pt idx="120">
                  <c:v>1</c:v>
                </c:pt>
                <c:pt idx="121">
                  <c:v>1</c:v>
                </c:pt>
                <c:pt idx="122">
                  <c:v>1</c:v>
                </c:pt>
                <c:pt idx="123">
                  <c:v>0</c:v>
                </c:pt>
                <c:pt idx="124">
                  <c:v>1</c:v>
                </c:pt>
                <c:pt idx="125">
                  <c:v>0</c:v>
                </c:pt>
                <c:pt idx="126">
                  <c:v>1</c:v>
                </c:pt>
                <c:pt idx="127">
                  <c:v>0</c:v>
                </c:pt>
                <c:pt idx="128">
                  <c:v>1</c:v>
                </c:pt>
                <c:pt idx="129">
                  <c:v>1</c:v>
                </c:pt>
                <c:pt idx="130">
                  <c:v>1</c:v>
                </c:pt>
                <c:pt idx="131">
                  <c:v>1</c:v>
                </c:pt>
                <c:pt idx="132">
                  <c:v>0</c:v>
                </c:pt>
                <c:pt idx="133">
                  <c:v>1</c:v>
                </c:pt>
                <c:pt idx="134">
                  <c:v>1</c:v>
                </c:pt>
                <c:pt idx="135">
                  <c:v>1</c:v>
                </c:pt>
                <c:pt idx="136">
                  <c:v>1</c:v>
                </c:pt>
                <c:pt idx="137">
                  <c:v>0</c:v>
                </c:pt>
                <c:pt idx="138">
                  <c:v>1</c:v>
                </c:pt>
                <c:pt idx="139">
                  <c:v>1</c:v>
                </c:pt>
                <c:pt idx="140">
                  <c:v>0</c:v>
                </c:pt>
                <c:pt idx="141">
                  <c:v>1</c:v>
                </c:pt>
                <c:pt idx="142">
                  <c:v>1</c:v>
                </c:pt>
                <c:pt idx="143">
                  <c:v>1</c:v>
                </c:pt>
                <c:pt idx="144">
                  <c:v>0</c:v>
                </c:pt>
                <c:pt idx="145">
                  <c:v>1</c:v>
                </c:pt>
                <c:pt idx="146">
                  <c:v>1</c:v>
                </c:pt>
                <c:pt idx="147">
                  <c:v>1</c:v>
                </c:pt>
                <c:pt idx="148">
                  <c:v>1</c:v>
                </c:pt>
                <c:pt idx="149">
                  <c:v>1</c:v>
                </c:pt>
                <c:pt idx="150">
                  <c:v>0</c:v>
                </c:pt>
                <c:pt idx="151">
                  <c:v>1</c:v>
                </c:pt>
                <c:pt idx="152">
                  <c:v>0</c:v>
                </c:pt>
                <c:pt idx="153">
                  <c:v>0</c:v>
                </c:pt>
                <c:pt idx="154">
                  <c:v>1</c:v>
                </c:pt>
                <c:pt idx="155">
                  <c:v>1</c:v>
                </c:pt>
                <c:pt idx="156">
                  <c:v>1</c:v>
                </c:pt>
                <c:pt idx="157">
                  <c:v>1</c:v>
                </c:pt>
                <c:pt idx="158">
                  <c:v>0</c:v>
                </c:pt>
                <c:pt idx="159">
                  <c:v>1</c:v>
                </c:pt>
                <c:pt idx="160">
                  <c:v>1</c:v>
                </c:pt>
                <c:pt idx="161">
                  <c:v>0</c:v>
                </c:pt>
                <c:pt idx="162">
                  <c:v>1</c:v>
                </c:pt>
                <c:pt idx="163">
                  <c:v>1</c:v>
                </c:pt>
                <c:pt idx="164">
                  <c:v>1</c:v>
                </c:pt>
                <c:pt idx="165">
                  <c:v>1</c:v>
                </c:pt>
                <c:pt idx="166">
                  <c:v>0</c:v>
                </c:pt>
                <c:pt idx="167">
                  <c:v>1</c:v>
                </c:pt>
                <c:pt idx="168">
                  <c:v>0</c:v>
                </c:pt>
                <c:pt idx="169">
                  <c:v>1</c:v>
                </c:pt>
                <c:pt idx="170">
                  <c:v>0</c:v>
                </c:pt>
                <c:pt idx="171">
                  <c:v>1</c:v>
                </c:pt>
                <c:pt idx="172">
                  <c:v>1</c:v>
                </c:pt>
                <c:pt idx="173">
                  <c:v>1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1</c:v>
                </c:pt>
                <c:pt idx="178">
                  <c:v>1</c:v>
                </c:pt>
                <c:pt idx="179">
                  <c:v>0</c:v>
                </c:pt>
                <c:pt idx="180">
                  <c:v>1</c:v>
                </c:pt>
                <c:pt idx="181">
                  <c:v>1</c:v>
                </c:pt>
                <c:pt idx="182">
                  <c:v>0</c:v>
                </c:pt>
                <c:pt idx="183">
                  <c:v>1</c:v>
                </c:pt>
                <c:pt idx="184">
                  <c:v>1</c:v>
                </c:pt>
                <c:pt idx="185">
                  <c:v>1</c:v>
                </c:pt>
                <c:pt idx="186">
                  <c:v>1</c:v>
                </c:pt>
                <c:pt idx="187">
                  <c:v>1</c:v>
                </c:pt>
                <c:pt idx="188">
                  <c:v>0</c:v>
                </c:pt>
                <c:pt idx="189">
                  <c:v>0</c:v>
                </c:pt>
                <c:pt idx="190">
                  <c:v>1</c:v>
                </c:pt>
                <c:pt idx="191">
                  <c:v>1</c:v>
                </c:pt>
                <c:pt idx="192">
                  <c:v>1</c:v>
                </c:pt>
                <c:pt idx="193">
                  <c:v>0</c:v>
                </c:pt>
                <c:pt idx="194">
                  <c:v>1</c:v>
                </c:pt>
                <c:pt idx="195">
                  <c:v>0</c:v>
                </c:pt>
                <c:pt idx="196">
                  <c:v>0</c:v>
                </c:pt>
                <c:pt idx="197">
                  <c:v>1</c:v>
                </c:pt>
                <c:pt idx="198">
                  <c:v>1</c:v>
                </c:pt>
                <c:pt idx="199">
                  <c:v>0</c:v>
                </c:pt>
                <c:pt idx="200">
                  <c:v>1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1</c:v>
                </c:pt>
                <c:pt idx="206">
                  <c:v>0</c:v>
                </c:pt>
                <c:pt idx="207">
                  <c:v>1</c:v>
                </c:pt>
                <c:pt idx="208">
                  <c:v>1</c:v>
                </c:pt>
                <c:pt idx="209">
                  <c:v>1</c:v>
                </c:pt>
                <c:pt idx="210">
                  <c:v>1</c:v>
                </c:pt>
                <c:pt idx="211">
                  <c:v>0</c:v>
                </c:pt>
                <c:pt idx="212">
                  <c:v>0</c:v>
                </c:pt>
                <c:pt idx="213">
                  <c:v>1</c:v>
                </c:pt>
                <c:pt idx="214">
                  <c:v>0</c:v>
                </c:pt>
                <c:pt idx="215">
                  <c:v>1</c:v>
                </c:pt>
                <c:pt idx="216">
                  <c:v>1</c:v>
                </c:pt>
                <c:pt idx="217">
                  <c:v>0</c:v>
                </c:pt>
                <c:pt idx="218">
                  <c:v>1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1</c:v>
                </c:pt>
                <c:pt idx="223">
                  <c:v>0</c:v>
                </c:pt>
                <c:pt idx="224">
                  <c:v>0</c:v>
                </c:pt>
                <c:pt idx="225">
                  <c:v>1</c:v>
                </c:pt>
                <c:pt idx="226">
                  <c:v>1</c:v>
                </c:pt>
                <c:pt idx="227">
                  <c:v>1</c:v>
                </c:pt>
                <c:pt idx="228">
                  <c:v>1</c:v>
                </c:pt>
                <c:pt idx="229">
                  <c:v>0</c:v>
                </c:pt>
                <c:pt idx="230">
                  <c:v>1</c:v>
                </c:pt>
                <c:pt idx="231">
                  <c:v>0</c:v>
                </c:pt>
                <c:pt idx="232">
                  <c:v>1</c:v>
                </c:pt>
                <c:pt idx="233">
                  <c:v>0</c:v>
                </c:pt>
                <c:pt idx="234">
                  <c:v>0</c:v>
                </c:pt>
                <c:pt idx="235">
                  <c:v>1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1</c:v>
                </c:pt>
                <c:pt idx="240">
                  <c:v>1</c:v>
                </c:pt>
                <c:pt idx="241">
                  <c:v>1</c:v>
                </c:pt>
                <c:pt idx="242">
                  <c:v>0</c:v>
                </c:pt>
              </c:numCache>
            </c:numRef>
          </c:xVal>
          <c:yVal>
            <c:numRef>
              <c:f>'Model 3'!$O$4:$O$246</c:f>
              <c:numCache>
                <c:formatCode>0.00</c:formatCode>
                <c:ptCount val="243"/>
                <c:pt idx="0">
                  <c:v>-1.7264916373525201</c:v>
                </c:pt>
                <c:pt idx="1">
                  <c:v>-0.59039632965188393</c:v>
                </c:pt>
                <c:pt idx="2">
                  <c:v>0.24214260491435446</c:v>
                </c:pt>
                <c:pt idx="3">
                  <c:v>-2.3868707219409036E-2</c:v>
                </c:pt>
                <c:pt idx="4">
                  <c:v>-0.19626340734111958</c:v>
                </c:pt>
                <c:pt idx="5">
                  <c:v>0.87193513497083242</c:v>
                </c:pt>
                <c:pt idx="6">
                  <c:v>7.3933025265819463E-2</c:v>
                </c:pt>
                <c:pt idx="7">
                  <c:v>-0.86819261517346735</c:v>
                </c:pt>
                <c:pt idx="8">
                  <c:v>-0.55808017813340172</c:v>
                </c:pt>
                <c:pt idx="9">
                  <c:v>0.7364690137140939</c:v>
                </c:pt>
                <c:pt idx="10">
                  <c:v>-0.35769692770050154</c:v>
                </c:pt>
                <c:pt idx="11">
                  <c:v>0.18627552722511886</c:v>
                </c:pt>
                <c:pt idx="12">
                  <c:v>-0.98395976621820247</c:v>
                </c:pt>
                <c:pt idx="13">
                  <c:v>-0.19034388012986092</c:v>
                </c:pt>
                <c:pt idx="14">
                  <c:v>0.48745549491898155</c:v>
                </c:pt>
                <c:pt idx="15">
                  <c:v>0.78441322693343984</c:v>
                </c:pt>
                <c:pt idx="16">
                  <c:v>-0.6137446503283428</c:v>
                </c:pt>
                <c:pt idx="17">
                  <c:v>0.89780485691504408</c:v>
                </c:pt>
                <c:pt idx="18">
                  <c:v>0.58930675787407738</c:v>
                </c:pt>
                <c:pt idx="19">
                  <c:v>0.22303754806680631</c:v>
                </c:pt>
                <c:pt idx="20">
                  <c:v>1.3868940666117968</c:v>
                </c:pt>
                <c:pt idx="21">
                  <c:v>-0.20117377943789139</c:v>
                </c:pt>
                <c:pt idx="22">
                  <c:v>-0.29439552116604473</c:v>
                </c:pt>
                <c:pt idx="23">
                  <c:v>2.5046847324686254</c:v>
                </c:pt>
                <c:pt idx="24">
                  <c:v>0.30749612618779087</c:v>
                </c:pt>
                <c:pt idx="25">
                  <c:v>-0.6948997451299137</c:v>
                </c:pt>
                <c:pt idx="26">
                  <c:v>-0.26349507605702982</c:v>
                </c:pt>
                <c:pt idx="27">
                  <c:v>-0.19928949737896495</c:v>
                </c:pt>
                <c:pt idx="28">
                  <c:v>1.2499865851366683</c:v>
                </c:pt>
                <c:pt idx="29">
                  <c:v>0.10925500049440551</c:v>
                </c:pt>
                <c:pt idx="30">
                  <c:v>-0.45281079583613337</c:v>
                </c:pt>
                <c:pt idx="31">
                  <c:v>-0.58588652819778897</c:v>
                </c:pt>
                <c:pt idx="32">
                  <c:v>0.54264265657134692</c:v>
                </c:pt>
                <c:pt idx="33">
                  <c:v>-0.89112177518815106</c:v>
                </c:pt>
                <c:pt idx="34">
                  <c:v>0.59011286222198667</c:v>
                </c:pt>
                <c:pt idx="35">
                  <c:v>0.15106545499003721</c:v>
                </c:pt>
                <c:pt idx="36">
                  <c:v>-0.71717978801730542</c:v>
                </c:pt>
                <c:pt idx="37">
                  <c:v>0.25998731106037987</c:v>
                </c:pt>
                <c:pt idx="38">
                  <c:v>-0.63189931339053507</c:v>
                </c:pt>
                <c:pt idx="39">
                  <c:v>0.87029748106525506</c:v>
                </c:pt>
                <c:pt idx="40">
                  <c:v>-0.4516863964833675</c:v>
                </c:pt>
                <c:pt idx="41">
                  <c:v>-0.20657650225239887</c:v>
                </c:pt>
                <c:pt idx="42">
                  <c:v>0.64578178737523384</c:v>
                </c:pt>
                <c:pt idx="43">
                  <c:v>-0.69198914620041507</c:v>
                </c:pt>
                <c:pt idx="44">
                  <c:v>1.279449095198899</c:v>
                </c:pt>
                <c:pt idx="45">
                  <c:v>0.17505492377290377</c:v>
                </c:pt>
                <c:pt idx="46">
                  <c:v>1.8030402473147009</c:v>
                </c:pt>
                <c:pt idx="47">
                  <c:v>1.4906091579104714</c:v>
                </c:pt>
                <c:pt idx="48">
                  <c:v>-1.9197839586630181</c:v>
                </c:pt>
                <c:pt idx="49">
                  <c:v>0.19865991593395727</c:v>
                </c:pt>
                <c:pt idx="50">
                  <c:v>0.21796974347713327</c:v>
                </c:pt>
                <c:pt idx="51">
                  <c:v>0.49612215256371295</c:v>
                </c:pt>
                <c:pt idx="52">
                  <c:v>0.42876451311501551</c:v>
                </c:pt>
                <c:pt idx="53">
                  <c:v>-0.47653833804791068</c:v>
                </c:pt>
                <c:pt idx="54">
                  <c:v>0.4764417434368946</c:v>
                </c:pt>
                <c:pt idx="55">
                  <c:v>0.5717509613998466</c:v>
                </c:pt>
                <c:pt idx="56">
                  <c:v>-1.8589349859498752</c:v>
                </c:pt>
                <c:pt idx="57">
                  <c:v>-2.0290239875404801</c:v>
                </c:pt>
                <c:pt idx="58">
                  <c:v>-0.21913241705169662</c:v>
                </c:pt>
                <c:pt idx="59">
                  <c:v>0.81906800996733331</c:v>
                </c:pt>
                <c:pt idx="60">
                  <c:v>0.37636686671816832</c:v>
                </c:pt>
                <c:pt idx="61">
                  <c:v>-0.22179173646732631</c:v>
                </c:pt>
                <c:pt idx="62">
                  <c:v>2.163997605003054E-2</c:v>
                </c:pt>
                <c:pt idx="63">
                  <c:v>0.76302679571402177</c:v>
                </c:pt>
                <c:pt idx="64">
                  <c:v>-0.19803734788189908</c:v>
                </c:pt>
                <c:pt idx="65">
                  <c:v>7.6856930194007855E-2</c:v>
                </c:pt>
                <c:pt idx="66">
                  <c:v>-0.11860109984411027</c:v>
                </c:pt>
                <c:pt idx="67">
                  <c:v>-6.5923789445083925E-2</c:v>
                </c:pt>
                <c:pt idx="68">
                  <c:v>-0.90121606095633755</c:v>
                </c:pt>
                <c:pt idx="69">
                  <c:v>-0.24509569884038296</c:v>
                </c:pt>
                <c:pt idx="70">
                  <c:v>-0.16602811838734133</c:v>
                </c:pt>
                <c:pt idx="71">
                  <c:v>0.17676851545019012</c:v>
                </c:pt>
                <c:pt idx="72">
                  <c:v>-0.3482648476372181</c:v>
                </c:pt>
                <c:pt idx="73">
                  <c:v>1.6609187028206391</c:v>
                </c:pt>
                <c:pt idx="74">
                  <c:v>-0.22619875377606213</c:v>
                </c:pt>
                <c:pt idx="75">
                  <c:v>-0.74345396573457867</c:v>
                </c:pt>
                <c:pt idx="76">
                  <c:v>0.47014219240495514</c:v>
                </c:pt>
                <c:pt idx="77">
                  <c:v>4.765806521539373E-2</c:v>
                </c:pt>
                <c:pt idx="78">
                  <c:v>-0.18093726571172253</c:v>
                </c:pt>
                <c:pt idx="79">
                  <c:v>4.5539962772127573E-2</c:v>
                </c:pt>
                <c:pt idx="80">
                  <c:v>0.21578515598022552</c:v>
                </c:pt>
                <c:pt idx="81">
                  <c:v>0.79502454301798187</c:v>
                </c:pt>
                <c:pt idx="82">
                  <c:v>-1.0950379833263302E-2</c:v>
                </c:pt>
                <c:pt idx="83">
                  <c:v>0.96566477113083415</c:v>
                </c:pt>
                <c:pt idx="84">
                  <c:v>-0.51076987830395293</c:v>
                </c:pt>
                <c:pt idx="85">
                  <c:v>0.46294118409714091</c:v>
                </c:pt>
                <c:pt idx="86">
                  <c:v>-0.26223097080352176</c:v>
                </c:pt>
                <c:pt idx="87">
                  <c:v>1.2420641938143553</c:v>
                </c:pt>
                <c:pt idx="88">
                  <c:v>2.4849437954320601</c:v>
                </c:pt>
                <c:pt idx="89">
                  <c:v>-2.986531588098007E-2</c:v>
                </c:pt>
                <c:pt idx="90">
                  <c:v>-0.77332210061288231</c:v>
                </c:pt>
                <c:pt idx="91">
                  <c:v>0.25527117040846514</c:v>
                </c:pt>
                <c:pt idx="92">
                  <c:v>-0.61518294905713855</c:v>
                </c:pt>
                <c:pt idx="93">
                  <c:v>1.6867979823735206</c:v>
                </c:pt>
                <c:pt idx="94">
                  <c:v>-5.3570541801931881E-2</c:v>
                </c:pt>
                <c:pt idx="95">
                  <c:v>-0.45300575772065166</c:v>
                </c:pt>
                <c:pt idx="96">
                  <c:v>0.38624764639583864</c:v>
                </c:pt>
                <c:pt idx="97">
                  <c:v>-0.67384783177990037</c:v>
                </c:pt>
                <c:pt idx="98">
                  <c:v>-2.173915020494066E-2</c:v>
                </c:pt>
                <c:pt idx="99">
                  <c:v>-0.79769654409007007</c:v>
                </c:pt>
                <c:pt idx="100">
                  <c:v>0.35606522653526396</c:v>
                </c:pt>
                <c:pt idx="101">
                  <c:v>0.47555275289908217</c:v>
                </c:pt>
                <c:pt idx="102">
                  <c:v>-2.8110391049385948</c:v>
                </c:pt>
                <c:pt idx="103">
                  <c:v>0.41095981314309071</c:v>
                </c:pt>
                <c:pt idx="104">
                  <c:v>1.0693416403162539</c:v>
                </c:pt>
                <c:pt idx="105">
                  <c:v>-0.72814268786585745</c:v>
                </c:pt>
                <c:pt idx="106">
                  <c:v>1.207482872989325</c:v>
                </c:pt>
                <c:pt idx="107">
                  <c:v>0.99182062098863621</c:v>
                </c:pt>
                <c:pt idx="108">
                  <c:v>1.0366796766456483</c:v>
                </c:pt>
                <c:pt idx="109">
                  <c:v>1.6967057588476653</c:v>
                </c:pt>
                <c:pt idx="110">
                  <c:v>0.67702034369711495</c:v>
                </c:pt>
                <c:pt idx="111">
                  <c:v>-0.54384738417105583</c:v>
                </c:pt>
                <c:pt idx="112">
                  <c:v>-0.86866206015593406</c:v>
                </c:pt>
                <c:pt idx="113">
                  <c:v>-0.80936209875334697</c:v>
                </c:pt>
                <c:pt idx="114">
                  <c:v>0.26407623192364804</c:v>
                </c:pt>
                <c:pt idx="115">
                  <c:v>0.73329397268133167</c:v>
                </c:pt>
                <c:pt idx="116">
                  <c:v>0.79382648046168036</c:v>
                </c:pt>
                <c:pt idx="117">
                  <c:v>-0.57180396579319481</c:v>
                </c:pt>
                <c:pt idx="118">
                  <c:v>-0.4398715099798951</c:v>
                </c:pt>
                <c:pt idx="119">
                  <c:v>-0.77204415297756057</c:v>
                </c:pt>
                <c:pt idx="120">
                  <c:v>0.17429178717972471</c:v>
                </c:pt>
                <c:pt idx="121">
                  <c:v>-0.65334727893766664</c:v>
                </c:pt>
                <c:pt idx="122">
                  <c:v>0.12163246776409498</c:v>
                </c:pt>
                <c:pt idx="123">
                  <c:v>-0.53793727924462598</c:v>
                </c:pt>
                <c:pt idx="124">
                  <c:v>0.2754074915878939</c:v>
                </c:pt>
                <c:pt idx="125">
                  <c:v>-0.38430638191503785</c:v>
                </c:pt>
                <c:pt idx="126">
                  <c:v>-0.35639691221811742</c:v>
                </c:pt>
                <c:pt idx="127">
                  <c:v>-0.43720924444630205</c:v>
                </c:pt>
                <c:pt idx="128">
                  <c:v>-0.14073054290347065</c:v>
                </c:pt>
                <c:pt idx="129">
                  <c:v>-1.1826924679766622</c:v>
                </c:pt>
                <c:pt idx="130">
                  <c:v>-1.3334717811010153</c:v>
                </c:pt>
                <c:pt idx="131">
                  <c:v>-0.15012406415053148</c:v>
                </c:pt>
                <c:pt idx="132">
                  <c:v>-0.62090234948818601</c:v>
                </c:pt>
                <c:pt idx="133">
                  <c:v>-0.22382011531037893</c:v>
                </c:pt>
                <c:pt idx="134">
                  <c:v>0.45966007282433807</c:v>
                </c:pt>
                <c:pt idx="135">
                  <c:v>-0.61974523289457695</c:v>
                </c:pt>
                <c:pt idx="136">
                  <c:v>-4.1589575827046144E-2</c:v>
                </c:pt>
                <c:pt idx="137">
                  <c:v>-0.40227385604794286</c:v>
                </c:pt>
                <c:pt idx="138">
                  <c:v>-0.45941015188367906</c:v>
                </c:pt>
                <c:pt idx="139">
                  <c:v>0.44120191290982902</c:v>
                </c:pt>
                <c:pt idx="140">
                  <c:v>0.78425184805326698</c:v>
                </c:pt>
                <c:pt idx="141">
                  <c:v>1.725096279548902</c:v>
                </c:pt>
                <c:pt idx="142">
                  <c:v>-0.44936730026344485</c:v>
                </c:pt>
                <c:pt idx="143">
                  <c:v>0.67534853185655042</c:v>
                </c:pt>
                <c:pt idx="144">
                  <c:v>-0.3175513845567508</c:v>
                </c:pt>
                <c:pt idx="145">
                  <c:v>-0.35463803791150261</c:v>
                </c:pt>
                <c:pt idx="146">
                  <c:v>-1.6423095194067499</c:v>
                </c:pt>
                <c:pt idx="147">
                  <c:v>-0.55699632753913519</c:v>
                </c:pt>
                <c:pt idx="148">
                  <c:v>-0.22536607270982678</c:v>
                </c:pt>
                <c:pt idx="149">
                  <c:v>0.25896725611253846</c:v>
                </c:pt>
                <c:pt idx="150">
                  <c:v>7.3507191451485987E-2</c:v>
                </c:pt>
                <c:pt idx="151">
                  <c:v>-0.3377380380229531</c:v>
                </c:pt>
                <c:pt idx="152">
                  <c:v>-0.16378251266984334</c:v>
                </c:pt>
                <c:pt idx="153">
                  <c:v>-1.7681940882324496</c:v>
                </c:pt>
                <c:pt idx="154">
                  <c:v>-1.3168666381131073</c:v>
                </c:pt>
                <c:pt idx="155">
                  <c:v>0.66099755344402755</c:v>
                </c:pt>
                <c:pt idx="156">
                  <c:v>-1.3505737559013546</c:v>
                </c:pt>
                <c:pt idx="157">
                  <c:v>-9.4975594485247061E-2</c:v>
                </c:pt>
                <c:pt idx="158">
                  <c:v>0.21342024976664975</c:v>
                </c:pt>
                <c:pt idx="159">
                  <c:v>-1.0071691409600856</c:v>
                </c:pt>
                <c:pt idx="160">
                  <c:v>1.9786816132402851E-2</c:v>
                </c:pt>
                <c:pt idx="161">
                  <c:v>0.20663934723982713</c:v>
                </c:pt>
                <c:pt idx="162">
                  <c:v>-0.83893406595632047</c:v>
                </c:pt>
                <c:pt idx="163">
                  <c:v>-0.40194361670101841</c:v>
                </c:pt>
                <c:pt idx="164">
                  <c:v>0.29765810474564658</c:v>
                </c:pt>
                <c:pt idx="165">
                  <c:v>-0.1092714850268357</c:v>
                </c:pt>
                <c:pt idx="166">
                  <c:v>-0.81816239877830466</c:v>
                </c:pt>
                <c:pt idx="167">
                  <c:v>5.5758936274979298E-2</c:v>
                </c:pt>
                <c:pt idx="168">
                  <c:v>-0.34205195779585895</c:v>
                </c:pt>
                <c:pt idx="169">
                  <c:v>4.4171243458372089E-2</c:v>
                </c:pt>
                <c:pt idx="170">
                  <c:v>4.1085794195504741</c:v>
                </c:pt>
                <c:pt idx="171">
                  <c:v>0.74936832624424632</c:v>
                </c:pt>
                <c:pt idx="172">
                  <c:v>3.4506995033981824</c:v>
                </c:pt>
                <c:pt idx="173">
                  <c:v>-0.84203172524947822</c:v>
                </c:pt>
                <c:pt idx="174">
                  <c:v>1.3971004034730559</c:v>
                </c:pt>
                <c:pt idx="175">
                  <c:v>-1.011172692325903</c:v>
                </c:pt>
                <c:pt idx="176">
                  <c:v>-0.70392896297625285</c:v>
                </c:pt>
                <c:pt idx="177">
                  <c:v>-0.38195686989948374</c:v>
                </c:pt>
                <c:pt idx="178">
                  <c:v>2.0445200567213782</c:v>
                </c:pt>
                <c:pt idx="179">
                  <c:v>-0.73451923808039332</c:v>
                </c:pt>
                <c:pt idx="180">
                  <c:v>-0.95858764574585065</c:v>
                </c:pt>
                <c:pt idx="181">
                  <c:v>2.4324264075992241</c:v>
                </c:pt>
                <c:pt idx="182">
                  <c:v>-1.9727913060926525</c:v>
                </c:pt>
                <c:pt idx="183">
                  <c:v>2.945353594289724</c:v>
                </c:pt>
                <c:pt idx="184">
                  <c:v>-1.8434854524541384</c:v>
                </c:pt>
                <c:pt idx="185">
                  <c:v>1.4201769865879288</c:v>
                </c:pt>
                <c:pt idx="186">
                  <c:v>0.30148440689547495</c:v>
                </c:pt>
                <c:pt idx="187">
                  <c:v>-2.4190579812728821</c:v>
                </c:pt>
                <c:pt idx="188">
                  <c:v>0.56113932066706296</c:v>
                </c:pt>
                <c:pt idx="189">
                  <c:v>0.62805299624110544</c:v>
                </c:pt>
                <c:pt idx="190">
                  <c:v>-0.9962050319589828</c:v>
                </c:pt>
                <c:pt idx="191">
                  <c:v>1.3365572472189653</c:v>
                </c:pt>
                <c:pt idx="192">
                  <c:v>-1.0739945618176994</c:v>
                </c:pt>
                <c:pt idx="193">
                  <c:v>-0.39031176818868785</c:v>
                </c:pt>
                <c:pt idx="194">
                  <c:v>1.4858262663026771</c:v>
                </c:pt>
                <c:pt idx="195">
                  <c:v>-0.30575374231967212</c:v>
                </c:pt>
                <c:pt idx="196">
                  <c:v>7.5006870642571277E-2</c:v>
                </c:pt>
                <c:pt idx="197">
                  <c:v>-0.40560803048379235</c:v>
                </c:pt>
                <c:pt idx="198">
                  <c:v>-0.21044276631393899</c:v>
                </c:pt>
                <c:pt idx="199">
                  <c:v>-0.22430442995958666</c:v>
                </c:pt>
                <c:pt idx="200">
                  <c:v>1.1086217289442142</c:v>
                </c:pt>
                <c:pt idx="201">
                  <c:v>-0.1758935744664436</c:v>
                </c:pt>
                <c:pt idx="202">
                  <c:v>-3.1470659704265991E-2</c:v>
                </c:pt>
                <c:pt idx="203">
                  <c:v>0.76068738186545826</c:v>
                </c:pt>
                <c:pt idx="204">
                  <c:v>0.51582993834435209</c:v>
                </c:pt>
                <c:pt idx="205">
                  <c:v>-0.19456893988666568</c:v>
                </c:pt>
                <c:pt idx="206">
                  <c:v>-1.9269173633737093</c:v>
                </c:pt>
                <c:pt idx="207">
                  <c:v>-1.1794246084858027</c:v>
                </c:pt>
                <c:pt idx="208">
                  <c:v>7.3056710246196754E-2</c:v>
                </c:pt>
                <c:pt idx="209">
                  <c:v>-1.932206231082088</c:v>
                </c:pt>
                <c:pt idx="210">
                  <c:v>1.4454350340179967</c:v>
                </c:pt>
                <c:pt idx="211">
                  <c:v>3.0834028118486803</c:v>
                </c:pt>
                <c:pt idx="212">
                  <c:v>0.29490252623764768</c:v>
                </c:pt>
                <c:pt idx="213">
                  <c:v>2.7119549892925745</c:v>
                </c:pt>
                <c:pt idx="214">
                  <c:v>-1.070162085363993</c:v>
                </c:pt>
                <c:pt idx="215">
                  <c:v>-1.1040440992642138</c:v>
                </c:pt>
                <c:pt idx="216">
                  <c:v>-0.51217940607717161</c:v>
                </c:pt>
                <c:pt idx="217">
                  <c:v>-0.20866252679694819</c:v>
                </c:pt>
                <c:pt idx="218">
                  <c:v>-1.0601423530828136</c:v>
                </c:pt>
                <c:pt idx="219">
                  <c:v>-5.3990835229663858E-2</c:v>
                </c:pt>
                <c:pt idx="220">
                  <c:v>1.0727474839157249</c:v>
                </c:pt>
                <c:pt idx="221">
                  <c:v>0.18012265666290839</c:v>
                </c:pt>
                <c:pt idx="222">
                  <c:v>9.1694234247092332E-2</c:v>
                </c:pt>
                <c:pt idx="223">
                  <c:v>-0.79295999572137355</c:v>
                </c:pt>
                <c:pt idx="224">
                  <c:v>-0.17634942672028453</c:v>
                </c:pt>
                <c:pt idx="225">
                  <c:v>-9.2834020499043213E-2</c:v>
                </c:pt>
                <c:pt idx="226">
                  <c:v>-0.28416846235063797</c:v>
                </c:pt>
                <c:pt idx="227">
                  <c:v>0.46500272112094931</c:v>
                </c:pt>
                <c:pt idx="228">
                  <c:v>-0.16071419626364492</c:v>
                </c:pt>
                <c:pt idx="229">
                  <c:v>-1.5370554249308817</c:v>
                </c:pt>
                <c:pt idx="230">
                  <c:v>0.42460871833526515</c:v>
                </c:pt>
                <c:pt idx="231">
                  <c:v>1.2926840687567864</c:v>
                </c:pt>
                <c:pt idx="232">
                  <c:v>-0.54800315758207385</c:v>
                </c:pt>
                <c:pt idx="233">
                  <c:v>0.61580591746462598</c:v>
                </c:pt>
                <c:pt idx="234">
                  <c:v>-0.70190917953112453</c:v>
                </c:pt>
                <c:pt idx="235">
                  <c:v>-1.1075435744078277</c:v>
                </c:pt>
                <c:pt idx="236">
                  <c:v>-2.8476595400802731</c:v>
                </c:pt>
                <c:pt idx="237">
                  <c:v>7.5449903684738473E-2</c:v>
                </c:pt>
                <c:pt idx="238">
                  <c:v>2.0017982108282943</c:v>
                </c:pt>
                <c:pt idx="239">
                  <c:v>-1.5184792376033669</c:v>
                </c:pt>
                <c:pt idx="240">
                  <c:v>-1.0583526586550613</c:v>
                </c:pt>
                <c:pt idx="241">
                  <c:v>-0.93366393652378177</c:v>
                </c:pt>
                <c:pt idx="242">
                  <c:v>0.22843009665536318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3E36-437A-BCB2-6D6A6167BB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6732783"/>
        <c:axId val="996718863"/>
      </c:scatterChart>
      <c:valAx>
        <c:axId val="99673278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smoker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996718863"/>
        <c:crosses val="autoZero"/>
        <c:crossBetween val="midCat"/>
      </c:valAx>
      <c:valAx>
        <c:axId val="996718863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Residuals</a:t>
                </a:r>
              </a:p>
            </c:rich>
          </c:tx>
          <c:overlay val="0"/>
        </c:title>
        <c:numFmt formatCode="0.00" sourceLinked="1"/>
        <c:majorTickMark val="out"/>
        <c:minorTickMark val="none"/>
        <c:tickLblPos val="nextTo"/>
        <c:crossAx val="996732783"/>
        <c:crosses val="autoZero"/>
        <c:crossBetween val="midCat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Sat  Residual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xVal>
            <c:numRef>
              <c:f>'Data '!$E$2:$E$244</c:f>
              <c:numCache>
                <c:formatCode>General</c:formatCode>
                <c:ptCount val="243"/>
                <c:pt idx="0">
                  <c:v>1</c:v>
                </c:pt>
                <c:pt idx="1">
                  <c:v>0</c:v>
                </c:pt>
                <c:pt idx="2">
                  <c:v>1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1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1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0</c:v>
                </c:pt>
                <c:pt idx="30">
                  <c:v>1</c:v>
                </c:pt>
                <c:pt idx="31">
                  <c:v>1</c:v>
                </c:pt>
                <c:pt idx="32">
                  <c:v>0</c:v>
                </c:pt>
                <c:pt idx="33">
                  <c:v>1</c:v>
                </c:pt>
                <c:pt idx="34">
                  <c:v>0</c:v>
                </c:pt>
                <c:pt idx="35">
                  <c:v>0</c:v>
                </c:pt>
                <c:pt idx="36">
                  <c:v>1</c:v>
                </c:pt>
                <c:pt idx="37">
                  <c:v>1</c:v>
                </c:pt>
                <c:pt idx="38">
                  <c:v>0</c:v>
                </c:pt>
                <c:pt idx="39">
                  <c:v>0</c:v>
                </c:pt>
                <c:pt idx="40">
                  <c:v>1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1</c:v>
                </c:pt>
                <c:pt idx="49">
                  <c:v>0</c:v>
                </c:pt>
                <c:pt idx="50">
                  <c:v>1</c:v>
                </c:pt>
                <c:pt idx="51">
                  <c:v>0</c:v>
                </c:pt>
                <c:pt idx="52">
                  <c:v>1</c:v>
                </c:pt>
                <c:pt idx="53">
                  <c:v>1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1</c:v>
                </c:pt>
                <c:pt idx="59">
                  <c:v>1</c:v>
                </c:pt>
                <c:pt idx="60">
                  <c:v>1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1</c:v>
                </c:pt>
                <c:pt idx="67">
                  <c:v>0</c:v>
                </c:pt>
                <c:pt idx="68">
                  <c:v>0</c:v>
                </c:pt>
                <c:pt idx="69">
                  <c:v>1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1</c:v>
                </c:pt>
                <c:pt idx="74">
                  <c:v>0</c:v>
                </c:pt>
                <c:pt idx="75">
                  <c:v>0</c:v>
                </c:pt>
                <c:pt idx="76">
                  <c:v>1</c:v>
                </c:pt>
                <c:pt idx="77">
                  <c:v>0</c:v>
                </c:pt>
                <c:pt idx="78">
                  <c:v>0</c:v>
                </c:pt>
                <c:pt idx="79">
                  <c:v>1</c:v>
                </c:pt>
                <c:pt idx="80">
                  <c:v>0</c:v>
                </c:pt>
                <c:pt idx="81">
                  <c:v>1</c:v>
                </c:pt>
                <c:pt idx="82">
                  <c:v>1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1</c:v>
                </c:pt>
                <c:pt idx="87">
                  <c:v>0</c:v>
                </c:pt>
                <c:pt idx="88">
                  <c:v>1</c:v>
                </c:pt>
                <c:pt idx="89">
                  <c:v>1</c:v>
                </c:pt>
                <c:pt idx="90">
                  <c:v>1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1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1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1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1</c:v>
                </c:pt>
                <c:pt idx="110">
                  <c:v>0</c:v>
                </c:pt>
                <c:pt idx="111">
                  <c:v>0</c:v>
                </c:pt>
                <c:pt idx="112">
                  <c:v>1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1</c:v>
                </c:pt>
                <c:pt idx="120">
                  <c:v>1</c:v>
                </c:pt>
                <c:pt idx="121">
                  <c:v>1</c:v>
                </c:pt>
                <c:pt idx="122">
                  <c:v>1</c:v>
                </c:pt>
                <c:pt idx="123">
                  <c:v>0</c:v>
                </c:pt>
                <c:pt idx="124">
                  <c:v>1</c:v>
                </c:pt>
                <c:pt idx="125">
                  <c:v>1</c:v>
                </c:pt>
                <c:pt idx="126">
                  <c:v>0</c:v>
                </c:pt>
                <c:pt idx="127">
                  <c:v>0</c:v>
                </c:pt>
                <c:pt idx="128">
                  <c:v>1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1</c:v>
                </c:pt>
                <c:pt idx="133">
                  <c:v>1</c:v>
                </c:pt>
                <c:pt idx="134">
                  <c:v>0</c:v>
                </c:pt>
                <c:pt idx="135">
                  <c:v>0</c:v>
                </c:pt>
                <c:pt idx="136">
                  <c:v>1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1</c:v>
                </c:pt>
                <c:pt idx="143">
                  <c:v>0</c:v>
                </c:pt>
                <c:pt idx="144">
                  <c:v>0</c:v>
                </c:pt>
                <c:pt idx="145">
                  <c:v>1</c:v>
                </c:pt>
                <c:pt idx="146">
                  <c:v>1</c:v>
                </c:pt>
                <c:pt idx="147">
                  <c:v>1</c:v>
                </c:pt>
                <c:pt idx="148">
                  <c:v>0</c:v>
                </c:pt>
                <c:pt idx="149">
                  <c:v>1</c:v>
                </c:pt>
                <c:pt idx="150">
                  <c:v>1</c:v>
                </c:pt>
                <c:pt idx="151">
                  <c:v>1</c:v>
                </c:pt>
                <c:pt idx="152">
                  <c:v>1</c:v>
                </c:pt>
                <c:pt idx="153">
                  <c:v>0</c:v>
                </c:pt>
                <c:pt idx="154">
                  <c:v>1</c:v>
                </c:pt>
                <c:pt idx="155">
                  <c:v>1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1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1</c:v>
                </c:pt>
                <c:pt idx="166">
                  <c:v>1</c:v>
                </c:pt>
                <c:pt idx="167">
                  <c:v>0</c:v>
                </c:pt>
                <c:pt idx="168">
                  <c:v>1</c:v>
                </c:pt>
                <c:pt idx="169">
                  <c:v>0</c:v>
                </c:pt>
                <c:pt idx="170">
                  <c:v>1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1</c:v>
                </c:pt>
                <c:pt idx="180">
                  <c:v>1</c:v>
                </c:pt>
                <c:pt idx="181">
                  <c:v>0</c:v>
                </c:pt>
                <c:pt idx="182">
                  <c:v>1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1</c:v>
                </c:pt>
                <c:pt idx="189">
                  <c:v>1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1</c:v>
                </c:pt>
                <c:pt idx="194">
                  <c:v>1</c:v>
                </c:pt>
                <c:pt idx="195">
                  <c:v>1</c:v>
                </c:pt>
                <c:pt idx="196">
                  <c:v>1</c:v>
                </c:pt>
                <c:pt idx="197">
                  <c:v>0</c:v>
                </c:pt>
                <c:pt idx="198">
                  <c:v>0</c:v>
                </c:pt>
                <c:pt idx="199">
                  <c:v>1</c:v>
                </c:pt>
                <c:pt idx="200">
                  <c:v>0</c:v>
                </c:pt>
                <c:pt idx="201">
                  <c:v>0</c:v>
                </c:pt>
                <c:pt idx="202">
                  <c:v>1</c:v>
                </c:pt>
                <c:pt idx="203">
                  <c:v>1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1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1</c:v>
                </c:pt>
                <c:pt idx="212">
                  <c:v>1</c:v>
                </c:pt>
                <c:pt idx="213">
                  <c:v>0</c:v>
                </c:pt>
                <c:pt idx="214">
                  <c:v>0</c:v>
                </c:pt>
                <c:pt idx="215">
                  <c:v>1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1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1</c:v>
                </c:pt>
                <c:pt idx="229">
                  <c:v>1</c:v>
                </c:pt>
                <c:pt idx="230">
                  <c:v>0</c:v>
                </c:pt>
                <c:pt idx="231">
                  <c:v>1</c:v>
                </c:pt>
                <c:pt idx="232">
                  <c:v>1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1</c:v>
                </c:pt>
                <c:pt idx="238">
                  <c:v>0</c:v>
                </c:pt>
                <c:pt idx="239">
                  <c:v>0</c:v>
                </c:pt>
                <c:pt idx="240">
                  <c:v>1</c:v>
                </c:pt>
                <c:pt idx="241">
                  <c:v>1</c:v>
                </c:pt>
                <c:pt idx="242">
                  <c:v>1</c:v>
                </c:pt>
              </c:numCache>
            </c:numRef>
          </c:xVal>
          <c:yVal>
            <c:numRef>
              <c:f>'Model 3'!$O$4:$O$246</c:f>
              <c:numCache>
                <c:formatCode>0.00</c:formatCode>
                <c:ptCount val="243"/>
                <c:pt idx="0">
                  <c:v>-1.7264916373525201</c:v>
                </c:pt>
                <c:pt idx="1">
                  <c:v>-0.59039632965188393</c:v>
                </c:pt>
                <c:pt idx="2">
                  <c:v>0.24214260491435446</c:v>
                </c:pt>
                <c:pt idx="3">
                  <c:v>-2.3868707219409036E-2</c:v>
                </c:pt>
                <c:pt idx="4">
                  <c:v>-0.19626340734111958</c:v>
                </c:pt>
                <c:pt idx="5">
                  <c:v>0.87193513497083242</c:v>
                </c:pt>
                <c:pt idx="6">
                  <c:v>7.3933025265819463E-2</c:v>
                </c:pt>
                <c:pt idx="7">
                  <c:v>-0.86819261517346735</c:v>
                </c:pt>
                <c:pt idx="8">
                  <c:v>-0.55808017813340172</c:v>
                </c:pt>
                <c:pt idx="9">
                  <c:v>0.7364690137140939</c:v>
                </c:pt>
                <c:pt idx="10">
                  <c:v>-0.35769692770050154</c:v>
                </c:pt>
                <c:pt idx="11">
                  <c:v>0.18627552722511886</c:v>
                </c:pt>
                <c:pt idx="12">
                  <c:v>-0.98395976621820247</c:v>
                </c:pt>
                <c:pt idx="13">
                  <c:v>-0.19034388012986092</c:v>
                </c:pt>
                <c:pt idx="14">
                  <c:v>0.48745549491898155</c:v>
                </c:pt>
                <c:pt idx="15">
                  <c:v>0.78441322693343984</c:v>
                </c:pt>
                <c:pt idx="16">
                  <c:v>-0.6137446503283428</c:v>
                </c:pt>
                <c:pt idx="17">
                  <c:v>0.89780485691504408</c:v>
                </c:pt>
                <c:pt idx="18">
                  <c:v>0.58930675787407738</c:v>
                </c:pt>
                <c:pt idx="19">
                  <c:v>0.22303754806680631</c:v>
                </c:pt>
                <c:pt idx="20">
                  <c:v>1.3868940666117968</c:v>
                </c:pt>
                <c:pt idx="21">
                  <c:v>-0.20117377943789139</c:v>
                </c:pt>
                <c:pt idx="22">
                  <c:v>-0.29439552116604473</c:v>
                </c:pt>
                <c:pt idx="23">
                  <c:v>2.5046847324686254</c:v>
                </c:pt>
                <c:pt idx="24">
                  <c:v>0.30749612618779087</c:v>
                </c:pt>
                <c:pt idx="25">
                  <c:v>-0.6948997451299137</c:v>
                </c:pt>
                <c:pt idx="26">
                  <c:v>-0.26349507605702982</c:v>
                </c:pt>
                <c:pt idx="27">
                  <c:v>-0.19928949737896495</c:v>
                </c:pt>
                <c:pt idx="28">
                  <c:v>1.2499865851366683</c:v>
                </c:pt>
                <c:pt idx="29">
                  <c:v>0.10925500049440551</c:v>
                </c:pt>
                <c:pt idx="30">
                  <c:v>-0.45281079583613337</c:v>
                </c:pt>
                <c:pt idx="31">
                  <c:v>-0.58588652819778897</c:v>
                </c:pt>
                <c:pt idx="32">
                  <c:v>0.54264265657134692</c:v>
                </c:pt>
                <c:pt idx="33">
                  <c:v>-0.89112177518815106</c:v>
                </c:pt>
                <c:pt idx="34">
                  <c:v>0.59011286222198667</c:v>
                </c:pt>
                <c:pt idx="35">
                  <c:v>0.15106545499003721</c:v>
                </c:pt>
                <c:pt idx="36">
                  <c:v>-0.71717978801730542</c:v>
                </c:pt>
                <c:pt idx="37">
                  <c:v>0.25998731106037987</c:v>
                </c:pt>
                <c:pt idx="38">
                  <c:v>-0.63189931339053507</c:v>
                </c:pt>
                <c:pt idx="39">
                  <c:v>0.87029748106525506</c:v>
                </c:pt>
                <c:pt idx="40">
                  <c:v>-0.4516863964833675</c:v>
                </c:pt>
                <c:pt idx="41">
                  <c:v>-0.20657650225239887</c:v>
                </c:pt>
                <c:pt idx="42">
                  <c:v>0.64578178737523384</c:v>
                </c:pt>
                <c:pt idx="43">
                  <c:v>-0.69198914620041507</c:v>
                </c:pt>
                <c:pt idx="44">
                  <c:v>1.279449095198899</c:v>
                </c:pt>
                <c:pt idx="45">
                  <c:v>0.17505492377290377</c:v>
                </c:pt>
                <c:pt idx="46">
                  <c:v>1.8030402473147009</c:v>
                </c:pt>
                <c:pt idx="47">
                  <c:v>1.4906091579104714</c:v>
                </c:pt>
                <c:pt idx="48">
                  <c:v>-1.9197839586630181</c:v>
                </c:pt>
                <c:pt idx="49">
                  <c:v>0.19865991593395727</c:v>
                </c:pt>
                <c:pt idx="50">
                  <c:v>0.21796974347713327</c:v>
                </c:pt>
                <c:pt idx="51">
                  <c:v>0.49612215256371295</c:v>
                </c:pt>
                <c:pt idx="52">
                  <c:v>0.42876451311501551</c:v>
                </c:pt>
                <c:pt idx="53">
                  <c:v>-0.47653833804791068</c:v>
                </c:pt>
                <c:pt idx="54">
                  <c:v>0.4764417434368946</c:v>
                </c:pt>
                <c:pt idx="55">
                  <c:v>0.5717509613998466</c:v>
                </c:pt>
                <c:pt idx="56">
                  <c:v>-1.8589349859498752</c:v>
                </c:pt>
                <c:pt idx="57">
                  <c:v>-2.0290239875404801</c:v>
                </c:pt>
                <c:pt idx="58">
                  <c:v>-0.21913241705169662</c:v>
                </c:pt>
                <c:pt idx="59">
                  <c:v>0.81906800996733331</c:v>
                </c:pt>
                <c:pt idx="60">
                  <c:v>0.37636686671816832</c:v>
                </c:pt>
                <c:pt idx="61">
                  <c:v>-0.22179173646732631</c:v>
                </c:pt>
                <c:pt idx="62">
                  <c:v>2.163997605003054E-2</c:v>
                </c:pt>
                <c:pt idx="63">
                  <c:v>0.76302679571402177</c:v>
                </c:pt>
                <c:pt idx="64">
                  <c:v>-0.19803734788189908</c:v>
                </c:pt>
                <c:pt idx="65">
                  <c:v>7.6856930194007855E-2</c:v>
                </c:pt>
                <c:pt idx="66">
                  <c:v>-0.11860109984411027</c:v>
                </c:pt>
                <c:pt idx="67">
                  <c:v>-6.5923789445083925E-2</c:v>
                </c:pt>
                <c:pt idx="68">
                  <c:v>-0.90121606095633755</c:v>
                </c:pt>
                <c:pt idx="69">
                  <c:v>-0.24509569884038296</c:v>
                </c:pt>
                <c:pt idx="70">
                  <c:v>-0.16602811838734133</c:v>
                </c:pt>
                <c:pt idx="71">
                  <c:v>0.17676851545019012</c:v>
                </c:pt>
                <c:pt idx="72">
                  <c:v>-0.3482648476372181</c:v>
                </c:pt>
                <c:pt idx="73">
                  <c:v>1.6609187028206391</c:v>
                </c:pt>
                <c:pt idx="74">
                  <c:v>-0.22619875377606213</c:v>
                </c:pt>
                <c:pt idx="75">
                  <c:v>-0.74345396573457867</c:v>
                </c:pt>
                <c:pt idx="76">
                  <c:v>0.47014219240495514</c:v>
                </c:pt>
                <c:pt idx="77">
                  <c:v>4.765806521539373E-2</c:v>
                </c:pt>
                <c:pt idx="78">
                  <c:v>-0.18093726571172253</c:v>
                </c:pt>
                <c:pt idx="79">
                  <c:v>4.5539962772127573E-2</c:v>
                </c:pt>
                <c:pt idx="80">
                  <c:v>0.21578515598022552</c:v>
                </c:pt>
                <c:pt idx="81">
                  <c:v>0.79502454301798187</c:v>
                </c:pt>
                <c:pt idx="82">
                  <c:v>-1.0950379833263302E-2</c:v>
                </c:pt>
                <c:pt idx="83">
                  <c:v>0.96566477113083415</c:v>
                </c:pt>
                <c:pt idx="84">
                  <c:v>-0.51076987830395293</c:v>
                </c:pt>
                <c:pt idx="85">
                  <c:v>0.46294118409714091</c:v>
                </c:pt>
                <c:pt idx="86">
                  <c:v>-0.26223097080352176</c:v>
                </c:pt>
                <c:pt idx="87">
                  <c:v>1.2420641938143553</c:v>
                </c:pt>
                <c:pt idx="88">
                  <c:v>2.4849437954320601</c:v>
                </c:pt>
                <c:pt idx="89">
                  <c:v>-2.986531588098007E-2</c:v>
                </c:pt>
                <c:pt idx="90">
                  <c:v>-0.77332210061288231</c:v>
                </c:pt>
                <c:pt idx="91">
                  <c:v>0.25527117040846514</c:v>
                </c:pt>
                <c:pt idx="92">
                  <c:v>-0.61518294905713855</c:v>
                </c:pt>
                <c:pt idx="93">
                  <c:v>1.6867979823735206</c:v>
                </c:pt>
                <c:pt idx="94">
                  <c:v>-5.3570541801931881E-2</c:v>
                </c:pt>
                <c:pt idx="95">
                  <c:v>-0.45300575772065166</c:v>
                </c:pt>
                <c:pt idx="96">
                  <c:v>0.38624764639583864</c:v>
                </c:pt>
                <c:pt idx="97">
                  <c:v>-0.67384783177990037</c:v>
                </c:pt>
                <c:pt idx="98">
                  <c:v>-2.173915020494066E-2</c:v>
                </c:pt>
                <c:pt idx="99">
                  <c:v>-0.79769654409007007</c:v>
                </c:pt>
                <c:pt idx="100">
                  <c:v>0.35606522653526396</c:v>
                </c:pt>
                <c:pt idx="101">
                  <c:v>0.47555275289908217</c:v>
                </c:pt>
                <c:pt idx="102">
                  <c:v>-2.8110391049385948</c:v>
                </c:pt>
                <c:pt idx="103">
                  <c:v>0.41095981314309071</c:v>
                </c:pt>
                <c:pt idx="104">
                  <c:v>1.0693416403162539</c:v>
                </c:pt>
                <c:pt idx="105">
                  <c:v>-0.72814268786585745</c:v>
                </c:pt>
                <c:pt idx="106">
                  <c:v>1.207482872989325</c:v>
                </c:pt>
                <c:pt idx="107">
                  <c:v>0.99182062098863621</c:v>
                </c:pt>
                <c:pt idx="108">
                  <c:v>1.0366796766456483</c:v>
                </c:pt>
                <c:pt idx="109">
                  <c:v>1.6967057588476653</c:v>
                </c:pt>
                <c:pt idx="110">
                  <c:v>0.67702034369711495</c:v>
                </c:pt>
                <c:pt idx="111">
                  <c:v>-0.54384738417105583</c:v>
                </c:pt>
                <c:pt idx="112">
                  <c:v>-0.86866206015593406</c:v>
                </c:pt>
                <c:pt idx="113">
                  <c:v>-0.80936209875334697</c:v>
                </c:pt>
                <c:pt idx="114">
                  <c:v>0.26407623192364804</c:v>
                </c:pt>
                <c:pt idx="115">
                  <c:v>0.73329397268133167</c:v>
                </c:pt>
                <c:pt idx="116">
                  <c:v>0.79382648046168036</c:v>
                </c:pt>
                <c:pt idx="117">
                  <c:v>-0.57180396579319481</c:v>
                </c:pt>
                <c:pt idx="118">
                  <c:v>-0.4398715099798951</c:v>
                </c:pt>
                <c:pt idx="119">
                  <c:v>-0.77204415297756057</c:v>
                </c:pt>
                <c:pt idx="120">
                  <c:v>0.17429178717972471</c:v>
                </c:pt>
                <c:pt idx="121">
                  <c:v>-0.65334727893766664</c:v>
                </c:pt>
                <c:pt idx="122">
                  <c:v>0.12163246776409498</c:v>
                </c:pt>
                <c:pt idx="123">
                  <c:v>-0.53793727924462598</c:v>
                </c:pt>
                <c:pt idx="124">
                  <c:v>0.2754074915878939</c:v>
                </c:pt>
                <c:pt idx="125">
                  <c:v>-0.38430638191503785</c:v>
                </c:pt>
                <c:pt idx="126">
                  <c:v>-0.35639691221811742</c:v>
                </c:pt>
                <c:pt idx="127">
                  <c:v>-0.43720924444630205</c:v>
                </c:pt>
                <c:pt idx="128">
                  <c:v>-0.14073054290347065</c:v>
                </c:pt>
                <c:pt idx="129">
                  <c:v>-1.1826924679766622</c:v>
                </c:pt>
                <c:pt idx="130">
                  <c:v>-1.3334717811010153</c:v>
                </c:pt>
                <c:pt idx="131">
                  <c:v>-0.15012406415053148</c:v>
                </c:pt>
                <c:pt idx="132">
                  <c:v>-0.62090234948818601</c:v>
                </c:pt>
                <c:pt idx="133">
                  <c:v>-0.22382011531037893</c:v>
                </c:pt>
                <c:pt idx="134">
                  <c:v>0.45966007282433807</c:v>
                </c:pt>
                <c:pt idx="135">
                  <c:v>-0.61974523289457695</c:v>
                </c:pt>
                <c:pt idx="136">
                  <c:v>-4.1589575827046144E-2</c:v>
                </c:pt>
                <c:pt idx="137">
                  <c:v>-0.40227385604794286</c:v>
                </c:pt>
                <c:pt idx="138">
                  <c:v>-0.45941015188367906</c:v>
                </c:pt>
                <c:pt idx="139">
                  <c:v>0.44120191290982902</c:v>
                </c:pt>
                <c:pt idx="140">
                  <c:v>0.78425184805326698</c:v>
                </c:pt>
                <c:pt idx="141">
                  <c:v>1.725096279548902</c:v>
                </c:pt>
                <c:pt idx="142">
                  <c:v>-0.44936730026344485</c:v>
                </c:pt>
                <c:pt idx="143">
                  <c:v>0.67534853185655042</c:v>
                </c:pt>
                <c:pt idx="144">
                  <c:v>-0.3175513845567508</c:v>
                </c:pt>
                <c:pt idx="145">
                  <c:v>-0.35463803791150261</c:v>
                </c:pt>
                <c:pt idx="146">
                  <c:v>-1.6423095194067499</c:v>
                </c:pt>
                <c:pt idx="147">
                  <c:v>-0.55699632753913519</c:v>
                </c:pt>
                <c:pt idx="148">
                  <c:v>-0.22536607270982678</c:v>
                </c:pt>
                <c:pt idx="149">
                  <c:v>0.25896725611253846</c:v>
                </c:pt>
                <c:pt idx="150">
                  <c:v>7.3507191451485987E-2</c:v>
                </c:pt>
                <c:pt idx="151">
                  <c:v>-0.3377380380229531</c:v>
                </c:pt>
                <c:pt idx="152">
                  <c:v>-0.16378251266984334</c:v>
                </c:pt>
                <c:pt idx="153">
                  <c:v>-1.7681940882324496</c:v>
                </c:pt>
                <c:pt idx="154">
                  <c:v>-1.3168666381131073</c:v>
                </c:pt>
                <c:pt idx="155">
                  <c:v>0.66099755344402755</c:v>
                </c:pt>
                <c:pt idx="156">
                  <c:v>-1.3505737559013546</c:v>
                </c:pt>
                <c:pt idx="157">
                  <c:v>-9.4975594485247061E-2</c:v>
                </c:pt>
                <c:pt idx="158">
                  <c:v>0.21342024976664975</c:v>
                </c:pt>
                <c:pt idx="159">
                  <c:v>-1.0071691409600856</c:v>
                </c:pt>
                <c:pt idx="160">
                  <c:v>1.9786816132402851E-2</c:v>
                </c:pt>
                <c:pt idx="161">
                  <c:v>0.20663934723982713</c:v>
                </c:pt>
                <c:pt idx="162">
                  <c:v>-0.83893406595632047</c:v>
                </c:pt>
                <c:pt idx="163">
                  <c:v>-0.40194361670101841</c:v>
                </c:pt>
                <c:pt idx="164">
                  <c:v>0.29765810474564658</c:v>
                </c:pt>
                <c:pt idx="165">
                  <c:v>-0.1092714850268357</c:v>
                </c:pt>
                <c:pt idx="166">
                  <c:v>-0.81816239877830466</c:v>
                </c:pt>
                <c:pt idx="167">
                  <c:v>5.5758936274979298E-2</c:v>
                </c:pt>
                <c:pt idx="168">
                  <c:v>-0.34205195779585895</c:v>
                </c:pt>
                <c:pt idx="169">
                  <c:v>4.4171243458372089E-2</c:v>
                </c:pt>
                <c:pt idx="170">
                  <c:v>4.1085794195504741</c:v>
                </c:pt>
                <c:pt idx="171">
                  <c:v>0.74936832624424632</c:v>
                </c:pt>
                <c:pt idx="172">
                  <c:v>3.4506995033981824</c:v>
                </c:pt>
                <c:pt idx="173">
                  <c:v>-0.84203172524947822</c:v>
                </c:pt>
                <c:pt idx="174">
                  <c:v>1.3971004034730559</c:v>
                </c:pt>
                <c:pt idx="175">
                  <c:v>-1.011172692325903</c:v>
                </c:pt>
                <c:pt idx="176">
                  <c:v>-0.70392896297625285</c:v>
                </c:pt>
                <c:pt idx="177">
                  <c:v>-0.38195686989948374</c:v>
                </c:pt>
                <c:pt idx="178">
                  <c:v>2.0445200567213782</c:v>
                </c:pt>
                <c:pt idx="179">
                  <c:v>-0.73451923808039332</c:v>
                </c:pt>
                <c:pt idx="180">
                  <c:v>-0.95858764574585065</c:v>
                </c:pt>
                <c:pt idx="181">
                  <c:v>2.4324264075992241</c:v>
                </c:pt>
                <c:pt idx="182">
                  <c:v>-1.9727913060926525</c:v>
                </c:pt>
                <c:pt idx="183">
                  <c:v>2.945353594289724</c:v>
                </c:pt>
                <c:pt idx="184">
                  <c:v>-1.8434854524541384</c:v>
                </c:pt>
                <c:pt idx="185">
                  <c:v>1.4201769865879288</c:v>
                </c:pt>
                <c:pt idx="186">
                  <c:v>0.30148440689547495</c:v>
                </c:pt>
                <c:pt idx="187">
                  <c:v>-2.4190579812728821</c:v>
                </c:pt>
                <c:pt idx="188">
                  <c:v>0.56113932066706296</c:v>
                </c:pt>
                <c:pt idx="189">
                  <c:v>0.62805299624110544</c:v>
                </c:pt>
                <c:pt idx="190">
                  <c:v>-0.9962050319589828</c:v>
                </c:pt>
                <c:pt idx="191">
                  <c:v>1.3365572472189653</c:v>
                </c:pt>
                <c:pt idx="192">
                  <c:v>-1.0739945618176994</c:v>
                </c:pt>
                <c:pt idx="193">
                  <c:v>-0.39031176818868785</c:v>
                </c:pt>
                <c:pt idx="194">
                  <c:v>1.4858262663026771</c:v>
                </c:pt>
                <c:pt idx="195">
                  <c:v>-0.30575374231967212</c:v>
                </c:pt>
                <c:pt idx="196">
                  <c:v>7.5006870642571277E-2</c:v>
                </c:pt>
                <c:pt idx="197">
                  <c:v>-0.40560803048379235</c:v>
                </c:pt>
                <c:pt idx="198">
                  <c:v>-0.21044276631393899</c:v>
                </c:pt>
                <c:pt idx="199">
                  <c:v>-0.22430442995958666</c:v>
                </c:pt>
                <c:pt idx="200">
                  <c:v>1.1086217289442142</c:v>
                </c:pt>
                <c:pt idx="201">
                  <c:v>-0.1758935744664436</c:v>
                </c:pt>
                <c:pt idx="202">
                  <c:v>-3.1470659704265991E-2</c:v>
                </c:pt>
                <c:pt idx="203">
                  <c:v>0.76068738186545826</c:v>
                </c:pt>
                <c:pt idx="204">
                  <c:v>0.51582993834435209</c:v>
                </c:pt>
                <c:pt idx="205">
                  <c:v>-0.19456893988666568</c:v>
                </c:pt>
                <c:pt idx="206">
                  <c:v>-1.9269173633737093</c:v>
                </c:pt>
                <c:pt idx="207">
                  <c:v>-1.1794246084858027</c:v>
                </c:pt>
                <c:pt idx="208">
                  <c:v>7.3056710246196754E-2</c:v>
                </c:pt>
                <c:pt idx="209">
                  <c:v>-1.932206231082088</c:v>
                </c:pt>
                <c:pt idx="210">
                  <c:v>1.4454350340179967</c:v>
                </c:pt>
                <c:pt idx="211">
                  <c:v>3.0834028118486803</c:v>
                </c:pt>
                <c:pt idx="212">
                  <c:v>0.29490252623764768</c:v>
                </c:pt>
                <c:pt idx="213">
                  <c:v>2.7119549892925745</c:v>
                </c:pt>
                <c:pt idx="214">
                  <c:v>-1.070162085363993</c:v>
                </c:pt>
                <c:pt idx="215">
                  <c:v>-1.1040440992642138</c:v>
                </c:pt>
                <c:pt idx="216">
                  <c:v>-0.51217940607717161</c:v>
                </c:pt>
                <c:pt idx="217">
                  <c:v>-0.20866252679694819</c:v>
                </c:pt>
                <c:pt idx="218">
                  <c:v>-1.0601423530828136</c:v>
                </c:pt>
                <c:pt idx="219">
                  <c:v>-5.3990835229663858E-2</c:v>
                </c:pt>
                <c:pt idx="220">
                  <c:v>1.0727474839157249</c:v>
                </c:pt>
                <c:pt idx="221">
                  <c:v>0.18012265666290839</c:v>
                </c:pt>
                <c:pt idx="222">
                  <c:v>9.1694234247092332E-2</c:v>
                </c:pt>
                <c:pt idx="223">
                  <c:v>-0.79295999572137355</c:v>
                </c:pt>
                <c:pt idx="224">
                  <c:v>-0.17634942672028453</c:v>
                </c:pt>
                <c:pt idx="225">
                  <c:v>-9.2834020499043213E-2</c:v>
                </c:pt>
                <c:pt idx="226">
                  <c:v>-0.28416846235063797</c:v>
                </c:pt>
                <c:pt idx="227">
                  <c:v>0.46500272112094931</c:v>
                </c:pt>
                <c:pt idx="228">
                  <c:v>-0.16071419626364492</c:v>
                </c:pt>
                <c:pt idx="229">
                  <c:v>-1.5370554249308817</c:v>
                </c:pt>
                <c:pt idx="230">
                  <c:v>0.42460871833526515</c:v>
                </c:pt>
                <c:pt idx="231">
                  <c:v>1.2926840687567864</c:v>
                </c:pt>
                <c:pt idx="232">
                  <c:v>-0.54800315758207385</c:v>
                </c:pt>
                <c:pt idx="233">
                  <c:v>0.61580591746462598</c:v>
                </c:pt>
                <c:pt idx="234">
                  <c:v>-0.70190917953112453</c:v>
                </c:pt>
                <c:pt idx="235">
                  <c:v>-1.1075435744078277</c:v>
                </c:pt>
                <c:pt idx="236">
                  <c:v>-2.8476595400802731</c:v>
                </c:pt>
                <c:pt idx="237">
                  <c:v>7.5449903684738473E-2</c:v>
                </c:pt>
                <c:pt idx="238">
                  <c:v>2.0017982108282943</c:v>
                </c:pt>
                <c:pt idx="239">
                  <c:v>-1.5184792376033669</c:v>
                </c:pt>
                <c:pt idx="240">
                  <c:v>-1.0583526586550613</c:v>
                </c:pt>
                <c:pt idx="241">
                  <c:v>-0.93366393652378177</c:v>
                </c:pt>
                <c:pt idx="242">
                  <c:v>0.22843009665536318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AC04-4FBE-8A6D-1B9BA3BB37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6727023"/>
        <c:axId val="996739023"/>
      </c:scatterChart>
      <c:valAx>
        <c:axId val="99672702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Sat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996739023"/>
        <c:crosses val="autoZero"/>
        <c:crossBetween val="midCat"/>
      </c:valAx>
      <c:valAx>
        <c:axId val="996739023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Residuals</a:t>
                </a:r>
              </a:p>
            </c:rich>
          </c:tx>
          <c:overlay val="0"/>
        </c:title>
        <c:numFmt formatCode="0.00" sourceLinked="1"/>
        <c:majorTickMark val="out"/>
        <c:minorTickMark val="none"/>
        <c:tickLblPos val="nextTo"/>
        <c:crossAx val="996727023"/>
        <c:crosses val="autoZero"/>
        <c:crossBetween val="midCat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fri  Residual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xVal>
            <c:numRef>
              <c:f>'Data '!$F$2:$F$244</c:f>
              <c:numCache>
                <c:formatCode>General</c:formatCode>
                <c:ptCount val="243"/>
                <c:pt idx="0">
                  <c:v>0</c:v>
                </c:pt>
                <c:pt idx="1">
                  <c:v>1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1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1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1</c:v>
                </c:pt>
                <c:pt idx="42">
                  <c:v>1</c:v>
                </c:pt>
                <c:pt idx="43">
                  <c:v>0</c:v>
                </c:pt>
                <c:pt idx="44">
                  <c:v>0</c:v>
                </c:pt>
                <c:pt idx="45">
                  <c:v>1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1</c:v>
                </c:pt>
                <c:pt idx="64">
                  <c:v>1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1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1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1</c:v>
                </c:pt>
                <c:pt idx="98">
                  <c:v>0</c:v>
                </c:pt>
                <c:pt idx="99">
                  <c:v>0</c:v>
                </c:pt>
                <c:pt idx="100">
                  <c:v>1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1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1</c:v>
                </c:pt>
                <c:pt idx="170">
                  <c:v>0</c:v>
                </c:pt>
                <c:pt idx="171">
                  <c:v>1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1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1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1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</c:numCache>
            </c:numRef>
          </c:xVal>
          <c:yVal>
            <c:numRef>
              <c:f>'Model 3'!$O$4:$O$246</c:f>
              <c:numCache>
                <c:formatCode>0.00</c:formatCode>
                <c:ptCount val="243"/>
                <c:pt idx="0">
                  <c:v>-1.7264916373525201</c:v>
                </c:pt>
                <c:pt idx="1">
                  <c:v>-0.59039632965188393</c:v>
                </c:pt>
                <c:pt idx="2">
                  <c:v>0.24214260491435446</c:v>
                </c:pt>
                <c:pt idx="3">
                  <c:v>-2.3868707219409036E-2</c:v>
                </c:pt>
                <c:pt idx="4">
                  <c:v>-0.19626340734111958</c:v>
                </c:pt>
                <c:pt idx="5">
                  <c:v>0.87193513497083242</c:v>
                </c:pt>
                <c:pt idx="6">
                  <c:v>7.3933025265819463E-2</c:v>
                </c:pt>
                <c:pt idx="7">
                  <c:v>-0.86819261517346735</c:v>
                </c:pt>
                <c:pt idx="8">
                  <c:v>-0.55808017813340172</c:v>
                </c:pt>
                <c:pt idx="9">
                  <c:v>0.7364690137140939</c:v>
                </c:pt>
                <c:pt idx="10">
                  <c:v>-0.35769692770050154</c:v>
                </c:pt>
                <c:pt idx="11">
                  <c:v>0.18627552722511886</c:v>
                </c:pt>
                <c:pt idx="12">
                  <c:v>-0.98395976621820247</c:v>
                </c:pt>
                <c:pt idx="13">
                  <c:v>-0.19034388012986092</c:v>
                </c:pt>
                <c:pt idx="14">
                  <c:v>0.48745549491898155</c:v>
                </c:pt>
                <c:pt idx="15">
                  <c:v>0.78441322693343984</c:v>
                </c:pt>
                <c:pt idx="16">
                  <c:v>-0.6137446503283428</c:v>
                </c:pt>
                <c:pt idx="17">
                  <c:v>0.89780485691504408</c:v>
                </c:pt>
                <c:pt idx="18">
                  <c:v>0.58930675787407738</c:v>
                </c:pt>
                <c:pt idx="19">
                  <c:v>0.22303754806680631</c:v>
                </c:pt>
                <c:pt idx="20">
                  <c:v>1.3868940666117968</c:v>
                </c:pt>
                <c:pt idx="21">
                  <c:v>-0.20117377943789139</c:v>
                </c:pt>
                <c:pt idx="22">
                  <c:v>-0.29439552116604473</c:v>
                </c:pt>
                <c:pt idx="23">
                  <c:v>2.5046847324686254</c:v>
                </c:pt>
                <c:pt idx="24">
                  <c:v>0.30749612618779087</c:v>
                </c:pt>
                <c:pt idx="25">
                  <c:v>-0.6948997451299137</c:v>
                </c:pt>
                <c:pt idx="26">
                  <c:v>-0.26349507605702982</c:v>
                </c:pt>
                <c:pt idx="27">
                  <c:v>-0.19928949737896495</c:v>
                </c:pt>
                <c:pt idx="28">
                  <c:v>1.2499865851366683</c:v>
                </c:pt>
                <c:pt idx="29">
                  <c:v>0.10925500049440551</c:v>
                </c:pt>
                <c:pt idx="30">
                  <c:v>-0.45281079583613337</c:v>
                </c:pt>
                <c:pt idx="31">
                  <c:v>-0.58588652819778897</c:v>
                </c:pt>
                <c:pt idx="32">
                  <c:v>0.54264265657134692</c:v>
                </c:pt>
                <c:pt idx="33">
                  <c:v>-0.89112177518815106</c:v>
                </c:pt>
                <c:pt idx="34">
                  <c:v>0.59011286222198667</c:v>
                </c:pt>
                <c:pt idx="35">
                  <c:v>0.15106545499003721</c:v>
                </c:pt>
                <c:pt idx="36">
                  <c:v>-0.71717978801730542</c:v>
                </c:pt>
                <c:pt idx="37">
                  <c:v>0.25998731106037987</c:v>
                </c:pt>
                <c:pt idx="38">
                  <c:v>-0.63189931339053507</c:v>
                </c:pt>
                <c:pt idx="39">
                  <c:v>0.87029748106525506</c:v>
                </c:pt>
                <c:pt idx="40">
                  <c:v>-0.4516863964833675</c:v>
                </c:pt>
                <c:pt idx="41">
                  <c:v>-0.20657650225239887</c:v>
                </c:pt>
                <c:pt idx="42">
                  <c:v>0.64578178737523384</c:v>
                </c:pt>
                <c:pt idx="43">
                  <c:v>-0.69198914620041507</c:v>
                </c:pt>
                <c:pt idx="44">
                  <c:v>1.279449095198899</c:v>
                </c:pt>
                <c:pt idx="45">
                  <c:v>0.17505492377290377</c:v>
                </c:pt>
                <c:pt idx="46">
                  <c:v>1.8030402473147009</c:v>
                </c:pt>
                <c:pt idx="47">
                  <c:v>1.4906091579104714</c:v>
                </c:pt>
                <c:pt idx="48">
                  <c:v>-1.9197839586630181</c:v>
                </c:pt>
                <c:pt idx="49">
                  <c:v>0.19865991593395727</c:v>
                </c:pt>
                <c:pt idx="50">
                  <c:v>0.21796974347713327</c:v>
                </c:pt>
                <c:pt idx="51">
                  <c:v>0.49612215256371295</c:v>
                </c:pt>
                <c:pt idx="52">
                  <c:v>0.42876451311501551</c:v>
                </c:pt>
                <c:pt idx="53">
                  <c:v>-0.47653833804791068</c:v>
                </c:pt>
                <c:pt idx="54">
                  <c:v>0.4764417434368946</c:v>
                </c:pt>
                <c:pt idx="55">
                  <c:v>0.5717509613998466</c:v>
                </c:pt>
                <c:pt idx="56">
                  <c:v>-1.8589349859498752</c:v>
                </c:pt>
                <c:pt idx="57">
                  <c:v>-2.0290239875404801</c:v>
                </c:pt>
                <c:pt idx="58">
                  <c:v>-0.21913241705169662</c:v>
                </c:pt>
                <c:pt idx="59">
                  <c:v>0.81906800996733331</c:v>
                </c:pt>
                <c:pt idx="60">
                  <c:v>0.37636686671816832</c:v>
                </c:pt>
                <c:pt idx="61">
                  <c:v>-0.22179173646732631</c:v>
                </c:pt>
                <c:pt idx="62">
                  <c:v>2.163997605003054E-2</c:v>
                </c:pt>
                <c:pt idx="63">
                  <c:v>0.76302679571402177</c:v>
                </c:pt>
                <c:pt idx="64">
                  <c:v>-0.19803734788189908</c:v>
                </c:pt>
                <c:pt idx="65">
                  <c:v>7.6856930194007855E-2</c:v>
                </c:pt>
                <c:pt idx="66">
                  <c:v>-0.11860109984411027</c:v>
                </c:pt>
                <c:pt idx="67">
                  <c:v>-6.5923789445083925E-2</c:v>
                </c:pt>
                <c:pt idx="68">
                  <c:v>-0.90121606095633755</c:v>
                </c:pt>
                <c:pt idx="69">
                  <c:v>-0.24509569884038296</c:v>
                </c:pt>
                <c:pt idx="70">
                  <c:v>-0.16602811838734133</c:v>
                </c:pt>
                <c:pt idx="71">
                  <c:v>0.17676851545019012</c:v>
                </c:pt>
                <c:pt idx="72">
                  <c:v>-0.3482648476372181</c:v>
                </c:pt>
                <c:pt idx="73">
                  <c:v>1.6609187028206391</c:v>
                </c:pt>
                <c:pt idx="74">
                  <c:v>-0.22619875377606213</c:v>
                </c:pt>
                <c:pt idx="75">
                  <c:v>-0.74345396573457867</c:v>
                </c:pt>
                <c:pt idx="76">
                  <c:v>0.47014219240495514</c:v>
                </c:pt>
                <c:pt idx="77">
                  <c:v>4.765806521539373E-2</c:v>
                </c:pt>
                <c:pt idx="78">
                  <c:v>-0.18093726571172253</c:v>
                </c:pt>
                <c:pt idx="79">
                  <c:v>4.5539962772127573E-2</c:v>
                </c:pt>
                <c:pt idx="80">
                  <c:v>0.21578515598022552</c:v>
                </c:pt>
                <c:pt idx="81">
                  <c:v>0.79502454301798187</c:v>
                </c:pt>
                <c:pt idx="82">
                  <c:v>-1.0950379833263302E-2</c:v>
                </c:pt>
                <c:pt idx="83">
                  <c:v>0.96566477113083415</c:v>
                </c:pt>
                <c:pt idx="84">
                  <c:v>-0.51076987830395293</c:v>
                </c:pt>
                <c:pt idx="85">
                  <c:v>0.46294118409714091</c:v>
                </c:pt>
                <c:pt idx="86">
                  <c:v>-0.26223097080352176</c:v>
                </c:pt>
                <c:pt idx="87">
                  <c:v>1.2420641938143553</c:v>
                </c:pt>
                <c:pt idx="88">
                  <c:v>2.4849437954320601</c:v>
                </c:pt>
                <c:pt idx="89">
                  <c:v>-2.986531588098007E-2</c:v>
                </c:pt>
                <c:pt idx="90">
                  <c:v>-0.77332210061288231</c:v>
                </c:pt>
                <c:pt idx="91">
                  <c:v>0.25527117040846514</c:v>
                </c:pt>
                <c:pt idx="92">
                  <c:v>-0.61518294905713855</c:v>
                </c:pt>
                <c:pt idx="93">
                  <c:v>1.6867979823735206</c:v>
                </c:pt>
                <c:pt idx="94">
                  <c:v>-5.3570541801931881E-2</c:v>
                </c:pt>
                <c:pt idx="95">
                  <c:v>-0.45300575772065166</c:v>
                </c:pt>
                <c:pt idx="96">
                  <c:v>0.38624764639583864</c:v>
                </c:pt>
                <c:pt idx="97">
                  <c:v>-0.67384783177990037</c:v>
                </c:pt>
                <c:pt idx="98">
                  <c:v>-2.173915020494066E-2</c:v>
                </c:pt>
                <c:pt idx="99">
                  <c:v>-0.79769654409007007</c:v>
                </c:pt>
                <c:pt idx="100">
                  <c:v>0.35606522653526396</c:v>
                </c:pt>
                <c:pt idx="101">
                  <c:v>0.47555275289908217</c:v>
                </c:pt>
                <c:pt idx="102">
                  <c:v>-2.8110391049385948</c:v>
                </c:pt>
                <c:pt idx="103">
                  <c:v>0.41095981314309071</c:v>
                </c:pt>
                <c:pt idx="104">
                  <c:v>1.0693416403162539</c:v>
                </c:pt>
                <c:pt idx="105">
                  <c:v>-0.72814268786585745</c:v>
                </c:pt>
                <c:pt idx="106">
                  <c:v>1.207482872989325</c:v>
                </c:pt>
                <c:pt idx="107">
                  <c:v>0.99182062098863621</c:v>
                </c:pt>
                <c:pt idx="108">
                  <c:v>1.0366796766456483</c:v>
                </c:pt>
                <c:pt idx="109">
                  <c:v>1.6967057588476653</c:v>
                </c:pt>
                <c:pt idx="110">
                  <c:v>0.67702034369711495</c:v>
                </c:pt>
                <c:pt idx="111">
                  <c:v>-0.54384738417105583</c:v>
                </c:pt>
                <c:pt idx="112">
                  <c:v>-0.86866206015593406</c:v>
                </c:pt>
                <c:pt idx="113">
                  <c:v>-0.80936209875334697</c:v>
                </c:pt>
                <c:pt idx="114">
                  <c:v>0.26407623192364804</c:v>
                </c:pt>
                <c:pt idx="115">
                  <c:v>0.73329397268133167</c:v>
                </c:pt>
                <c:pt idx="116">
                  <c:v>0.79382648046168036</c:v>
                </c:pt>
                <c:pt idx="117">
                  <c:v>-0.57180396579319481</c:v>
                </c:pt>
                <c:pt idx="118">
                  <c:v>-0.4398715099798951</c:v>
                </c:pt>
                <c:pt idx="119">
                  <c:v>-0.77204415297756057</c:v>
                </c:pt>
                <c:pt idx="120">
                  <c:v>0.17429178717972471</c:v>
                </c:pt>
                <c:pt idx="121">
                  <c:v>-0.65334727893766664</c:v>
                </c:pt>
                <c:pt idx="122">
                  <c:v>0.12163246776409498</c:v>
                </c:pt>
                <c:pt idx="123">
                  <c:v>-0.53793727924462598</c:v>
                </c:pt>
                <c:pt idx="124">
                  <c:v>0.2754074915878939</c:v>
                </c:pt>
                <c:pt idx="125">
                  <c:v>-0.38430638191503785</c:v>
                </c:pt>
                <c:pt idx="126">
                  <c:v>-0.35639691221811742</c:v>
                </c:pt>
                <c:pt idx="127">
                  <c:v>-0.43720924444630205</c:v>
                </c:pt>
                <c:pt idx="128">
                  <c:v>-0.14073054290347065</c:v>
                </c:pt>
                <c:pt idx="129">
                  <c:v>-1.1826924679766622</c:v>
                </c:pt>
                <c:pt idx="130">
                  <c:v>-1.3334717811010153</c:v>
                </c:pt>
                <c:pt idx="131">
                  <c:v>-0.15012406415053148</c:v>
                </c:pt>
                <c:pt idx="132">
                  <c:v>-0.62090234948818601</c:v>
                </c:pt>
                <c:pt idx="133">
                  <c:v>-0.22382011531037893</c:v>
                </c:pt>
                <c:pt idx="134">
                  <c:v>0.45966007282433807</c:v>
                </c:pt>
                <c:pt idx="135">
                  <c:v>-0.61974523289457695</c:v>
                </c:pt>
                <c:pt idx="136">
                  <c:v>-4.1589575827046144E-2</c:v>
                </c:pt>
                <c:pt idx="137">
                  <c:v>-0.40227385604794286</c:v>
                </c:pt>
                <c:pt idx="138">
                  <c:v>-0.45941015188367906</c:v>
                </c:pt>
                <c:pt idx="139">
                  <c:v>0.44120191290982902</c:v>
                </c:pt>
                <c:pt idx="140">
                  <c:v>0.78425184805326698</c:v>
                </c:pt>
                <c:pt idx="141">
                  <c:v>1.725096279548902</c:v>
                </c:pt>
                <c:pt idx="142">
                  <c:v>-0.44936730026344485</c:v>
                </c:pt>
                <c:pt idx="143">
                  <c:v>0.67534853185655042</c:v>
                </c:pt>
                <c:pt idx="144">
                  <c:v>-0.3175513845567508</c:v>
                </c:pt>
                <c:pt idx="145">
                  <c:v>-0.35463803791150261</c:v>
                </c:pt>
                <c:pt idx="146">
                  <c:v>-1.6423095194067499</c:v>
                </c:pt>
                <c:pt idx="147">
                  <c:v>-0.55699632753913519</c:v>
                </c:pt>
                <c:pt idx="148">
                  <c:v>-0.22536607270982678</c:v>
                </c:pt>
                <c:pt idx="149">
                  <c:v>0.25896725611253846</c:v>
                </c:pt>
                <c:pt idx="150">
                  <c:v>7.3507191451485987E-2</c:v>
                </c:pt>
                <c:pt idx="151">
                  <c:v>-0.3377380380229531</c:v>
                </c:pt>
                <c:pt idx="152">
                  <c:v>-0.16378251266984334</c:v>
                </c:pt>
                <c:pt idx="153">
                  <c:v>-1.7681940882324496</c:v>
                </c:pt>
                <c:pt idx="154">
                  <c:v>-1.3168666381131073</c:v>
                </c:pt>
                <c:pt idx="155">
                  <c:v>0.66099755344402755</c:v>
                </c:pt>
                <c:pt idx="156">
                  <c:v>-1.3505737559013546</c:v>
                </c:pt>
                <c:pt idx="157">
                  <c:v>-9.4975594485247061E-2</c:v>
                </c:pt>
                <c:pt idx="158">
                  <c:v>0.21342024976664975</c:v>
                </c:pt>
                <c:pt idx="159">
                  <c:v>-1.0071691409600856</c:v>
                </c:pt>
                <c:pt idx="160">
                  <c:v>1.9786816132402851E-2</c:v>
                </c:pt>
                <c:pt idx="161">
                  <c:v>0.20663934723982713</c:v>
                </c:pt>
                <c:pt idx="162">
                  <c:v>-0.83893406595632047</c:v>
                </c:pt>
                <c:pt idx="163">
                  <c:v>-0.40194361670101841</c:v>
                </c:pt>
                <c:pt idx="164">
                  <c:v>0.29765810474564658</c:v>
                </c:pt>
                <c:pt idx="165">
                  <c:v>-0.1092714850268357</c:v>
                </c:pt>
                <c:pt idx="166">
                  <c:v>-0.81816239877830466</c:v>
                </c:pt>
                <c:pt idx="167">
                  <c:v>5.5758936274979298E-2</c:v>
                </c:pt>
                <c:pt idx="168">
                  <c:v>-0.34205195779585895</c:v>
                </c:pt>
                <c:pt idx="169">
                  <c:v>4.4171243458372089E-2</c:v>
                </c:pt>
                <c:pt idx="170">
                  <c:v>4.1085794195504741</c:v>
                </c:pt>
                <c:pt idx="171">
                  <c:v>0.74936832624424632</c:v>
                </c:pt>
                <c:pt idx="172">
                  <c:v>3.4506995033981824</c:v>
                </c:pt>
                <c:pt idx="173">
                  <c:v>-0.84203172524947822</c:v>
                </c:pt>
                <c:pt idx="174">
                  <c:v>1.3971004034730559</c:v>
                </c:pt>
                <c:pt idx="175">
                  <c:v>-1.011172692325903</c:v>
                </c:pt>
                <c:pt idx="176">
                  <c:v>-0.70392896297625285</c:v>
                </c:pt>
                <c:pt idx="177">
                  <c:v>-0.38195686989948374</c:v>
                </c:pt>
                <c:pt idx="178">
                  <c:v>2.0445200567213782</c:v>
                </c:pt>
                <c:pt idx="179">
                  <c:v>-0.73451923808039332</c:v>
                </c:pt>
                <c:pt idx="180">
                  <c:v>-0.95858764574585065</c:v>
                </c:pt>
                <c:pt idx="181">
                  <c:v>2.4324264075992241</c:v>
                </c:pt>
                <c:pt idx="182">
                  <c:v>-1.9727913060926525</c:v>
                </c:pt>
                <c:pt idx="183">
                  <c:v>2.945353594289724</c:v>
                </c:pt>
                <c:pt idx="184">
                  <c:v>-1.8434854524541384</c:v>
                </c:pt>
                <c:pt idx="185">
                  <c:v>1.4201769865879288</c:v>
                </c:pt>
                <c:pt idx="186">
                  <c:v>0.30148440689547495</c:v>
                </c:pt>
                <c:pt idx="187">
                  <c:v>-2.4190579812728821</c:v>
                </c:pt>
                <c:pt idx="188">
                  <c:v>0.56113932066706296</c:v>
                </c:pt>
                <c:pt idx="189">
                  <c:v>0.62805299624110544</c:v>
                </c:pt>
                <c:pt idx="190">
                  <c:v>-0.9962050319589828</c:v>
                </c:pt>
                <c:pt idx="191">
                  <c:v>1.3365572472189653</c:v>
                </c:pt>
                <c:pt idx="192">
                  <c:v>-1.0739945618176994</c:v>
                </c:pt>
                <c:pt idx="193">
                  <c:v>-0.39031176818868785</c:v>
                </c:pt>
                <c:pt idx="194">
                  <c:v>1.4858262663026771</c:v>
                </c:pt>
                <c:pt idx="195">
                  <c:v>-0.30575374231967212</c:v>
                </c:pt>
                <c:pt idx="196">
                  <c:v>7.5006870642571277E-2</c:v>
                </c:pt>
                <c:pt idx="197">
                  <c:v>-0.40560803048379235</c:v>
                </c:pt>
                <c:pt idx="198">
                  <c:v>-0.21044276631393899</c:v>
                </c:pt>
                <c:pt idx="199">
                  <c:v>-0.22430442995958666</c:v>
                </c:pt>
                <c:pt idx="200">
                  <c:v>1.1086217289442142</c:v>
                </c:pt>
                <c:pt idx="201">
                  <c:v>-0.1758935744664436</c:v>
                </c:pt>
                <c:pt idx="202">
                  <c:v>-3.1470659704265991E-2</c:v>
                </c:pt>
                <c:pt idx="203">
                  <c:v>0.76068738186545826</c:v>
                </c:pt>
                <c:pt idx="204">
                  <c:v>0.51582993834435209</c:v>
                </c:pt>
                <c:pt idx="205">
                  <c:v>-0.19456893988666568</c:v>
                </c:pt>
                <c:pt idx="206">
                  <c:v>-1.9269173633737093</c:v>
                </c:pt>
                <c:pt idx="207">
                  <c:v>-1.1794246084858027</c:v>
                </c:pt>
                <c:pt idx="208">
                  <c:v>7.3056710246196754E-2</c:v>
                </c:pt>
                <c:pt idx="209">
                  <c:v>-1.932206231082088</c:v>
                </c:pt>
                <c:pt idx="210">
                  <c:v>1.4454350340179967</c:v>
                </c:pt>
                <c:pt idx="211">
                  <c:v>3.0834028118486803</c:v>
                </c:pt>
                <c:pt idx="212">
                  <c:v>0.29490252623764768</c:v>
                </c:pt>
                <c:pt idx="213">
                  <c:v>2.7119549892925745</c:v>
                </c:pt>
                <c:pt idx="214">
                  <c:v>-1.070162085363993</c:v>
                </c:pt>
                <c:pt idx="215">
                  <c:v>-1.1040440992642138</c:v>
                </c:pt>
                <c:pt idx="216">
                  <c:v>-0.51217940607717161</c:v>
                </c:pt>
                <c:pt idx="217">
                  <c:v>-0.20866252679694819</c:v>
                </c:pt>
                <c:pt idx="218">
                  <c:v>-1.0601423530828136</c:v>
                </c:pt>
                <c:pt idx="219">
                  <c:v>-5.3990835229663858E-2</c:v>
                </c:pt>
                <c:pt idx="220">
                  <c:v>1.0727474839157249</c:v>
                </c:pt>
                <c:pt idx="221">
                  <c:v>0.18012265666290839</c:v>
                </c:pt>
                <c:pt idx="222">
                  <c:v>9.1694234247092332E-2</c:v>
                </c:pt>
                <c:pt idx="223">
                  <c:v>-0.79295999572137355</c:v>
                </c:pt>
                <c:pt idx="224">
                  <c:v>-0.17634942672028453</c:v>
                </c:pt>
                <c:pt idx="225">
                  <c:v>-9.2834020499043213E-2</c:v>
                </c:pt>
                <c:pt idx="226">
                  <c:v>-0.28416846235063797</c:v>
                </c:pt>
                <c:pt idx="227">
                  <c:v>0.46500272112094931</c:v>
                </c:pt>
                <c:pt idx="228">
                  <c:v>-0.16071419626364492</c:v>
                </c:pt>
                <c:pt idx="229">
                  <c:v>-1.5370554249308817</c:v>
                </c:pt>
                <c:pt idx="230">
                  <c:v>0.42460871833526515</c:v>
                </c:pt>
                <c:pt idx="231">
                  <c:v>1.2926840687567864</c:v>
                </c:pt>
                <c:pt idx="232">
                  <c:v>-0.54800315758207385</c:v>
                </c:pt>
                <c:pt idx="233">
                  <c:v>0.61580591746462598</c:v>
                </c:pt>
                <c:pt idx="234">
                  <c:v>-0.70190917953112453</c:v>
                </c:pt>
                <c:pt idx="235">
                  <c:v>-1.1075435744078277</c:v>
                </c:pt>
                <c:pt idx="236">
                  <c:v>-2.8476595400802731</c:v>
                </c:pt>
                <c:pt idx="237">
                  <c:v>7.5449903684738473E-2</c:v>
                </c:pt>
                <c:pt idx="238">
                  <c:v>2.0017982108282943</c:v>
                </c:pt>
                <c:pt idx="239">
                  <c:v>-1.5184792376033669</c:v>
                </c:pt>
                <c:pt idx="240">
                  <c:v>-1.0583526586550613</c:v>
                </c:pt>
                <c:pt idx="241">
                  <c:v>-0.93366393652378177</c:v>
                </c:pt>
                <c:pt idx="242">
                  <c:v>0.22843009665536318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B40F-49FB-A5BC-5FC78E5FFC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6727023"/>
        <c:axId val="996754863"/>
      </c:scatterChart>
      <c:valAx>
        <c:axId val="99672702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fri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996754863"/>
        <c:crosses val="autoZero"/>
        <c:crossBetween val="midCat"/>
      </c:valAx>
      <c:valAx>
        <c:axId val="996754863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Residuals</a:t>
                </a:r>
              </a:p>
            </c:rich>
          </c:tx>
          <c:overlay val="0"/>
        </c:title>
        <c:numFmt formatCode="0.00" sourceLinked="1"/>
        <c:majorTickMark val="out"/>
        <c:minorTickMark val="none"/>
        <c:tickLblPos val="nextTo"/>
        <c:crossAx val="996727023"/>
        <c:crosses val="autoZero"/>
        <c:crossBetween val="midCat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Sun  Residual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xVal>
            <c:numRef>
              <c:f>'Data '!$G$2:$G$244</c:f>
              <c:numCache>
                <c:formatCode>General</c:formatCode>
                <c:ptCount val="24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1</c:v>
                </c:pt>
                <c:pt idx="12">
                  <c:v>0</c:v>
                </c:pt>
                <c:pt idx="13">
                  <c:v>1</c:v>
                </c:pt>
                <c:pt idx="14">
                  <c:v>1</c:v>
                </c:pt>
                <c:pt idx="15">
                  <c:v>0</c:v>
                </c:pt>
                <c:pt idx="16">
                  <c:v>1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0</c:v>
                </c:pt>
                <c:pt idx="24">
                  <c:v>1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1</c:v>
                </c:pt>
                <c:pt idx="48">
                  <c:v>0</c:v>
                </c:pt>
                <c:pt idx="49">
                  <c:v>1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1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1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1</c:v>
                </c:pt>
                <c:pt idx="68">
                  <c:v>1</c:v>
                </c:pt>
                <c:pt idx="69">
                  <c:v>0</c:v>
                </c:pt>
                <c:pt idx="70">
                  <c:v>1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1</c:v>
                </c:pt>
                <c:pt idx="75">
                  <c:v>0</c:v>
                </c:pt>
                <c:pt idx="76">
                  <c:v>0</c:v>
                </c:pt>
                <c:pt idx="77">
                  <c:v>1</c:v>
                </c:pt>
                <c:pt idx="78">
                  <c:v>1</c:v>
                </c:pt>
                <c:pt idx="79">
                  <c:v>0</c:v>
                </c:pt>
                <c:pt idx="80">
                  <c:v>1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1</c:v>
                </c:pt>
                <c:pt idx="85">
                  <c:v>0</c:v>
                </c:pt>
                <c:pt idx="86">
                  <c:v>0</c:v>
                </c:pt>
                <c:pt idx="87">
                  <c:v>1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1</c:v>
                </c:pt>
                <c:pt idx="97">
                  <c:v>0</c:v>
                </c:pt>
                <c:pt idx="98">
                  <c:v>1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1</c:v>
                </c:pt>
                <c:pt idx="106">
                  <c:v>0</c:v>
                </c:pt>
                <c:pt idx="107">
                  <c:v>0</c:v>
                </c:pt>
                <c:pt idx="108">
                  <c:v>1</c:v>
                </c:pt>
                <c:pt idx="109">
                  <c:v>0</c:v>
                </c:pt>
                <c:pt idx="110">
                  <c:v>1</c:v>
                </c:pt>
                <c:pt idx="111">
                  <c:v>1</c:v>
                </c:pt>
                <c:pt idx="112">
                  <c:v>0</c:v>
                </c:pt>
                <c:pt idx="113">
                  <c:v>1</c:v>
                </c:pt>
                <c:pt idx="114">
                  <c:v>0</c:v>
                </c:pt>
                <c:pt idx="115">
                  <c:v>1</c:v>
                </c:pt>
                <c:pt idx="116">
                  <c:v>1</c:v>
                </c:pt>
                <c:pt idx="117">
                  <c:v>0</c:v>
                </c:pt>
                <c:pt idx="118">
                  <c:v>1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1</c:v>
                </c:pt>
                <c:pt idx="124">
                  <c:v>0</c:v>
                </c:pt>
                <c:pt idx="125">
                  <c:v>0</c:v>
                </c:pt>
                <c:pt idx="126">
                  <c:v>1</c:v>
                </c:pt>
                <c:pt idx="127">
                  <c:v>1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1</c:v>
                </c:pt>
                <c:pt idx="132">
                  <c:v>0</c:v>
                </c:pt>
                <c:pt idx="133">
                  <c:v>0</c:v>
                </c:pt>
                <c:pt idx="134">
                  <c:v>1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1</c:v>
                </c:pt>
                <c:pt idx="142">
                  <c:v>0</c:v>
                </c:pt>
                <c:pt idx="143">
                  <c:v>1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1</c:v>
                </c:pt>
                <c:pt idx="157">
                  <c:v>1</c:v>
                </c:pt>
                <c:pt idx="158">
                  <c:v>1</c:v>
                </c:pt>
                <c:pt idx="159">
                  <c:v>0</c:v>
                </c:pt>
                <c:pt idx="160">
                  <c:v>1</c:v>
                </c:pt>
                <c:pt idx="161">
                  <c:v>0</c:v>
                </c:pt>
                <c:pt idx="162">
                  <c:v>0</c:v>
                </c:pt>
                <c:pt idx="163">
                  <c:v>1</c:v>
                </c:pt>
                <c:pt idx="164">
                  <c:v>1</c:v>
                </c:pt>
                <c:pt idx="165">
                  <c:v>0</c:v>
                </c:pt>
                <c:pt idx="166">
                  <c:v>0</c:v>
                </c:pt>
                <c:pt idx="167">
                  <c:v>1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1</c:v>
                </c:pt>
                <c:pt idx="175">
                  <c:v>1</c:v>
                </c:pt>
                <c:pt idx="176">
                  <c:v>1</c:v>
                </c:pt>
                <c:pt idx="177">
                  <c:v>1</c:v>
                </c:pt>
                <c:pt idx="178">
                  <c:v>1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1</c:v>
                </c:pt>
                <c:pt idx="184">
                  <c:v>1</c:v>
                </c:pt>
                <c:pt idx="185">
                  <c:v>1</c:v>
                </c:pt>
                <c:pt idx="186">
                  <c:v>0</c:v>
                </c:pt>
                <c:pt idx="187">
                  <c:v>1</c:v>
                </c:pt>
                <c:pt idx="188">
                  <c:v>0</c:v>
                </c:pt>
                <c:pt idx="189">
                  <c:v>0</c:v>
                </c:pt>
                <c:pt idx="190">
                  <c:v>1</c:v>
                </c:pt>
                <c:pt idx="191">
                  <c:v>1</c:v>
                </c:pt>
                <c:pt idx="192">
                  <c:v>1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1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1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1</c:v>
                </c:pt>
                <c:pt idx="210">
                  <c:v>1</c:v>
                </c:pt>
                <c:pt idx="211">
                  <c:v>0</c:v>
                </c:pt>
                <c:pt idx="212">
                  <c:v>0</c:v>
                </c:pt>
                <c:pt idx="213">
                  <c:v>1</c:v>
                </c:pt>
                <c:pt idx="214">
                  <c:v>1</c:v>
                </c:pt>
                <c:pt idx="215">
                  <c:v>0</c:v>
                </c:pt>
                <c:pt idx="216">
                  <c:v>1</c:v>
                </c:pt>
                <c:pt idx="217">
                  <c:v>1</c:v>
                </c:pt>
                <c:pt idx="218">
                  <c:v>1</c:v>
                </c:pt>
                <c:pt idx="219">
                  <c:v>0</c:v>
                </c:pt>
                <c:pt idx="220">
                  <c:v>0</c:v>
                </c:pt>
                <c:pt idx="221">
                  <c:v>1</c:v>
                </c:pt>
                <c:pt idx="222">
                  <c:v>0</c:v>
                </c:pt>
                <c:pt idx="223">
                  <c:v>1</c:v>
                </c:pt>
                <c:pt idx="224">
                  <c:v>1</c:v>
                </c:pt>
                <c:pt idx="225">
                  <c:v>1</c:v>
                </c:pt>
                <c:pt idx="226">
                  <c:v>0</c:v>
                </c:pt>
                <c:pt idx="227">
                  <c:v>1</c:v>
                </c:pt>
                <c:pt idx="228">
                  <c:v>0</c:v>
                </c:pt>
                <c:pt idx="229">
                  <c:v>0</c:v>
                </c:pt>
                <c:pt idx="230">
                  <c:v>1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1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1</c:v>
                </c:pt>
                <c:pt idx="239">
                  <c:v>1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</c:numCache>
            </c:numRef>
          </c:xVal>
          <c:yVal>
            <c:numRef>
              <c:f>'Model 3'!$O$4:$O$246</c:f>
              <c:numCache>
                <c:formatCode>0.00</c:formatCode>
                <c:ptCount val="243"/>
                <c:pt idx="0">
                  <c:v>-1.7264916373525201</c:v>
                </c:pt>
                <c:pt idx="1">
                  <c:v>-0.59039632965188393</c:v>
                </c:pt>
                <c:pt idx="2">
                  <c:v>0.24214260491435446</c:v>
                </c:pt>
                <c:pt idx="3">
                  <c:v>-2.3868707219409036E-2</c:v>
                </c:pt>
                <c:pt idx="4">
                  <c:v>-0.19626340734111958</c:v>
                </c:pt>
                <c:pt idx="5">
                  <c:v>0.87193513497083242</c:v>
                </c:pt>
                <c:pt idx="6">
                  <c:v>7.3933025265819463E-2</c:v>
                </c:pt>
                <c:pt idx="7">
                  <c:v>-0.86819261517346735</c:v>
                </c:pt>
                <c:pt idx="8">
                  <c:v>-0.55808017813340172</c:v>
                </c:pt>
                <c:pt idx="9">
                  <c:v>0.7364690137140939</c:v>
                </c:pt>
                <c:pt idx="10">
                  <c:v>-0.35769692770050154</c:v>
                </c:pt>
                <c:pt idx="11">
                  <c:v>0.18627552722511886</c:v>
                </c:pt>
                <c:pt idx="12">
                  <c:v>-0.98395976621820247</c:v>
                </c:pt>
                <c:pt idx="13">
                  <c:v>-0.19034388012986092</c:v>
                </c:pt>
                <c:pt idx="14">
                  <c:v>0.48745549491898155</c:v>
                </c:pt>
                <c:pt idx="15">
                  <c:v>0.78441322693343984</c:v>
                </c:pt>
                <c:pt idx="16">
                  <c:v>-0.6137446503283428</c:v>
                </c:pt>
                <c:pt idx="17">
                  <c:v>0.89780485691504408</c:v>
                </c:pt>
                <c:pt idx="18">
                  <c:v>0.58930675787407738</c:v>
                </c:pt>
                <c:pt idx="19">
                  <c:v>0.22303754806680631</c:v>
                </c:pt>
                <c:pt idx="20">
                  <c:v>1.3868940666117968</c:v>
                </c:pt>
                <c:pt idx="21">
                  <c:v>-0.20117377943789139</c:v>
                </c:pt>
                <c:pt idx="22">
                  <c:v>-0.29439552116604473</c:v>
                </c:pt>
                <c:pt idx="23">
                  <c:v>2.5046847324686254</c:v>
                </c:pt>
                <c:pt idx="24">
                  <c:v>0.30749612618779087</c:v>
                </c:pt>
                <c:pt idx="25">
                  <c:v>-0.6948997451299137</c:v>
                </c:pt>
                <c:pt idx="26">
                  <c:v>-0.26349507605702982</c:v>
                </c:pt>
                <c:pt idx="27">
                  <c:v>-0.19928949737896495</c:v>
                </c:pt>
                <c:pt idx="28">
                  <c:v>1.2499865851366683</c:v>
                </c:pt>
                <c:pt idx="29">
                  <c:v>0.10925500049440551</c:v>
                </c:pt>
                <c:pt idx="30">
                  <c:v>-0.45281079583613337</c:v>
                </c:pt>
                <c:pt idx="31">
                  <c:v>-0.58588652819778897</c:v>
                </c:pt>
                <c:pt idx="32">
                  <c:v>0.54264265657134692</c:v>
                </c:pt>
                <c:pt idx="33">
                  <c:v>-0.89112177518815106</c:v>
                </c:pt>
                <c:pt idx="34">
                  <c:v>0.59011286222198667</c:v>
                </c:pt>
                <c:pt idx="35">
                  <c:v>0.15106545499003721</c:v>
                </c:pt>
                <c:pt idx="36">
                  <c:v>-0.71717978801730542</c:v>
                </c:pt>
                <c:pt idx="37">
                  <c:v>0.25998731106037987</c:v>
                </c:pt>
                <c:pt idx="38">
                  <c:v>-0.63189931339053507</c:v>
                </c:pt>
                <c:pt idx="39">
                  <c:v>0.87029748106525506</c:v>
                </c:pt>
                <c:pt idx="40">
                  <c:v>-0.4516863964833675</c:v>
                </c:pt>
                <c:pt idx="41">
                  <c:v>-0.20657650225239887</c:v>
                </c:pt>
                <c:pt idx="42">
                  <c:v>0.64578178737523384</c:v>
                </c:pt>
                <c:pt idx="43">
                  <c:v>-0.69198914620041507</c:v>
                </c:pt>
                <c:pt idx="44">
                  <c:v>1.279449095198899</c:v>
                </c:pt>
                <c:pt idx="45">
                  <c:v>0.17505492377290377</c:v>
                </c:pt>
                <c:pt idx="46">
                  <c:v>1.8030402473147009</c:v>
                </c:pt>
                <c:pt idx="47">
                  <c:v>1.4906091579104714</c:v>
                </c:pt>
                <c:pt idx="48">
                  <c:v>-1.9197839586630181</c:v>
                </c:pt>
                <c:pt idx="49">
                  <c:v>0.19865991593395727</c:v>
                </c:pt>
                <c:pt idx="50">
                  <c:v>0.21796974347713327</c:v>
                </c:pt>
                <c:pt idx="51">
                  <c:v>0.49612215256371295</c:v>
                </c:pt>
                <c:pt idx="52">
                  <c:v>0.42876451311501551</c:v>
                </c:pt>
                <c:pt idx="53">
                  <c:v>-0.47653833804791068</c:v>
                </c:pt>
                <c:pt idx="54">
                  <c:v>0.4764417434368946</c:v>
                </c:pt>
                <c:pt idx="55">
                  <c:v>0.5717509613998466</c:v>
                </c:pt>
                <c:pt idx="56">
                  <c:v>-1.8589349859498752</c:v>
                </c:pt>
                <c:pt idx="57">
                  <c:v>-2.0290239875404801</c:v>
                </c:pt>
                <c:pt idx="58">
                  <c:v>-0.21913241705169662</c:v>
                </c:pt>
                <c:pt idx="59">
                  <c:v>0.81906800996733331</c:v>
                </c:pt>
                <c:pt idx="60">
                  <c:v>0.37636686671816832</c:v>
                </c:pt>
                <c:pt idx="61">
                  <c:v>-0.22179173646732631</c:v>
                </c:pt>
                <c:pt idx="62">
                  <c:v>2.163997605003054E-2</c:v>
                </c:pt>
                <c:pt idx="63">
                  <c:v>0.76302679571402177</c:v>
                </c:pt>
                <c:pt idx="64">
                  <c:v>-0.19803734788189908</c:v>
                </c:pt>
                <c:pt idx="65">
                  <c:v>7.6856930194007855E-2</c:v>
                </c:pt>
                <c:pt idx="66">
                  <c:v>-0.11860109984411027</c:v>
                </c:pt>
                <c:pt idx="67">
                  <c:v>-6.5923789445083925E-2</c:v>
                </c:pt>
                <c:pt idx="68">
                  <c:v>-0.90121606095633755</c:v>
                </c:pt>
                <c:pt idx="69">
                  <c:v>-0.24509569884038296</c:v>
                </c:pt>
                <c:pt idx="70">
                  <c:v>-0.16602811838734133</c:v>
                </c:pt>
                <c:pt idx="71">
                  <c:v>0.17676851545019012</c:v>
                </c:pt>
                <c:pt idx="72">
                  <c:v>-0.3482648476372181</c:v>
                </c:pt>
                <c:pt idx="73">
                  <c:v>1.6609187028206391</c:v>
                </c:pt>
                <c:pt idx="74">
                  <c:v>-0.22619875377606213</c:v>
                </c:pt>
                <c:pt idx="75">
                  <c:v>-0.74345396573457867</c:v>
                </c:pt>
                <c:pt idx="76">
                  <c:v>0.47014219240495514</c:v>
                </c:pt>
                <c:pt idx="77">
                  <c:v>4.765806521539373E-2</c:v>
                </c:pt>
                <c:pt idx="78">
                  <c:v>-0.18093726571172253</c:v>
                </c:pt>
                <c:pt idx="79">
                  <c:v>4.5539962772127573E-2</c:v>
                </c:pt>
                <c:pt idx="80">
                  <c:v>0.21578515598022552</c:v>
                </c:pt>
                <c:pt idx="81">
                  <c:v>0.79502454301798187</c:v>
                </c:pt>
                <c:pt idx="82">
                  <c:v>-1.0950379833263302E-2</c:v>
                </c:pt>
                <c:pt idx="83">
                  <c:v>0.96566477113083415</c:v>
                </c:pt>
                <c:pt idx="84">
                  <c:v>-0.51076987830395293</c:v>
                </c:pt>
                <c:pt idx="85">
                  <c:v>0.46294118409714091</c:v>
                </c:pt>
                <c:pt idx="86">
                  <c:v>-0.26223097080352176</c:v>
                </c:pt>
                <c:pt idx="87">
                  <c:v>1.2420641938143553</c:v>
                </c:pt>
                <c:pt idx="88">
                  <c:v>2.4849437954320601</c:v>
                </c:pt>
                <c:pt idx="89">
                  <c:v>-2.986531588098007E-2</c:v>
                </c:pt>
                <c:pt idx="90">
                  <c:v>-0.77332210061288231</c:v>
                </c:pt>
                <c:pt idx="91">
                  <c:v>0.25527117040846514</c:v>
                </c:pt>
                <c:pt idx="92">
                  <c:v>-0.61518294905713855</c:v>
                </c:pt>
                <c:pt idx="93">
                  <c:v>1.6867979823735206</c:v>
                </c:pt>
                <c:pt idx="94">
                  <c:v>-5.3570541801931881E-2</c:v>
                </c:pt>
                <c:pt idx="95">
                  <c:v>-0.45300575772065166</c:v>
                </c:pt>
                <c:pt idx="96">
                  <c:v>0.38624764639583864</c:v>
                </c:pt>
                <c:pt idx="97">
                  <c:v>-0.67384783177990037</c:v>
                </c:pt>
                <c:pt idx="98">
                  <c:v>-2.173915020494066E-2</c:v>
                </c:pt>
                <c:pt idx="99">
                  <c:v>-0.79769654409007007</c:v>
                </c:pt>
                <c:pt idx="100">
                  <c:v>0.35606522653526396</c:v>
                </c:pt>
                <c:pt idx="101">
                  <c:v>0.47555275289908217</c:v>
                </c:pt>
                <c:pt idx="102">
                  <c:v>-2.8110391049385948</c:v>
                </c:pt>
                <c:pt idx="103">
                  <c:v>0.41095981314309071</c:v>
                </c:pt>
                <c:pt idx="104">
                  <c:v>1.0693416403162539</c:v>
                </c:pt>
                <c:pt idx="105">
                  <c:v>-0.72814268786585745</c:v>
                </c:pt>
                <c:pt idx="106">
                  <c:v>1.207482872989325</c:v>
                </c:pt>
                <c:pt idx="107">
                  <c:v>0.99182062098863621</c:v>
                </c:pt>
                <c:pt idx="108">
                  <c:v>1.0366796766456483</c:v>
                </c:pt>
                <c:pt idx="109">
                  <c:v>1.6967057588476653</c:v>
                </c:pt>
                <c:pt idx="110">
                  <c:v>0.67702034369711495</c:v>
                </c:pt>
                <c:pt idx="111">
                  <c:v>-0.54384738417105583</c:v>
                </c:pt>
                <c:pt idx="112">
                  <c:v>-0.86866206015593406</c:v>
                </c:pt>
                <c:pt idx="113">
                  <c:v>-0.80936209875334697</c:v>
                </c:pt>
                <c:pt idx="114">
                  <c:v>0.26407623192364804</c:v>
                </c:pt>
                <c:pt idx="115">
                  <c:v>0.73329397268133167</c:v>
                </c:pt>
                <c:pt idx="116">
                  <c:v>0.79382648046168036</c:v>
                </c:pt>
                <c:pt idx="117">
                  <c:v>-0.57180396579319481</c:v>
                </c:pt>
                <c:pt idx="118">
                  <c:v>-0.4398715099798951</c:v>
                </c:pt>
                <c:pt idx="119">
                  <c:v>-0.77204415297756057</c:v>
                </c:pt>
                <c:pt idx="120">
                  <c:v>0.17429178717972471</c:v>
                </c:pt>
                <c:pt idx="121">
                  <c:v>-0.65334727893766664</c:v>
                </c:pt>
                <c:pt idx="122">
                  <c:v>0.12163246776409498</c:v>
                </c:pt>
                <c:pt idx="123">
                  <c:v>-0.53793727924462598</c:v>
                </c:pt>
                <c:pt idx="124">
                  <c:v>0.2754074915878939</c:v>
                </c:pt>
                <c:pt idx="125">
                  <c:v>-0.38430638191503785</c:v>
                </c:pt>
                <c:pt idx="126">
                  <c:v>-0.35639691221811742</c:v>
                </c:pt>
                <c:pt idx="127">
                  <c:v>-0.43720924444630205</c:v>
                </c:pt>
                <c:pt idx="128">
                  <c:v>-0.14073054290347065</c:v>
                </c:pt>
                <c:pt idx="129">
                  <c:v>-1.1826924679766622</c:v>
                </c:pt>
                <c:pt idx="130">
                  <c:v>-1.3334717811010153</c:v>
                </c:pt>
                <c:pt idx="131">
                  <c:v>-0.15012406415053148</c:v>
                </c:pt>
                <c:pt idx="132">
                  <c:v>-0.62090234948818601</c:v>
                </c:pt>
                <c:pt idx="133">
                  <c:v>-0.22382011531037893</c:v>
                </c:pt>
                <c:pt idx="134">
                  <c:v>0.45966007282433807</c:v>
                </c:pt>
                <c:pt idx="135">
                  <c:v>-0.61974523289457695</c:v>
                </c:pt>
                <c:pt idx="136">
                  <c:v>-4.1589575827046144E-2</c:v>
                </c:pt>
                <c:pt idx="137">
                  <c:v>-0.40227385604794286</c:v>
                </c:pt>
                <c:pt idx="138">
                  <c:v>-0.45941015188367906</c:v>
                </c:pt>
                <c:pt idx="139">
                  <c:v>0.44120191290982902</c:v>
                </c:pt>
                <c:pt idx="140">
                  <c:v>0.78425184805326698</c:v>
                </c:pt>
                <c:pt idx="141">
                  <c:v>1.725096279548902</c:v>
                </c:pt>
                <c:pt idx="142">
                  <c:v>-0.44936730026344485</c:v>
                </c:pt>
                <c:pt idx="143">
                  <c:v>0.67534853185655042</c:v>
                </c:pt>
                <c:pt idx="144">
                  <c:v>-0.3175513845567508</c:v>
                </c:pt>
                <c:pt idx="145">
                  <c:v>-0.35463803791150261</c:v>
                </c:pt>
                <c:pt idx="146">
                  <c:v>-1.6423095194067499</c:v>
                </c:pt>
                <c:pt idx="147">
                  <c:v>-0.55699632753913519</c:v>
                </c:pt>
                <c:pt idx="148">
                  <c:v>-0.22536607270982678</c:v>
                </c:pt>
                <c:pt idx="149">
                  <c:v>0.25896725611253846</c:v>
                </c:pt>
                <c:pt idx="150">
                  <c:v>7.3507191451485987E-2</c:v>
                </c:pt>
                <c:pt idx="151">
                  <c:v>-0.3377380380229531</c:v>
                </c:pt>
                <c:pt idx="152">
                  <c:v>-0.16378251266984334</c:v>
                </c:pt>
                <c:pt idx="153">
                  <c:v>-1.7681940882324496</c:v>
                </c:pt>
                <c:pt idx="154">
                  <c:v>-1.3168666381131073</c:v>
                </c:pt>
                <c:pt idx="155">
                  <c:v>0.66099755344402755</c:v>
                </c:pt>
                <c:pt idx="156">
                  <c:v>-1.3505737559013546</c:v>
                </c:pt>
                <c:pt idx="157">
                  <c:v>-9.4975594485247061E-2</c:v>
                </c:pt>
                <c:pt idx="158">
                  <c:v>0.21342024976664975</c:v>
                </c:pt>
                <c:pt idx="159">
                  <c:v>-1.0071691409600856</c:v>
                </c:pt>
                <c:pt idx="160">
                  <c:v>1.9786816132402851E-2</c:v>
                </c:pt>
                <c:pt idx="161">
                  <c:v>0.20663934723982713</c:v>
                </c:pt>
                <c:pt idx="162">
                  <c:v>-0.83893406595632047</c:v>
                </c:pt>
                <c:pt idx="163">
                  <c:v>-0.40194361670101841</c:v>
                </c:pt>
                <c:pt idx="164">
                  <c:v>0.29765810474564658</c:v>
                </c:pt>
                <c:pt idx="165">
                  <c:v>-0.1092714850268357</c:v>
                </c:pt>
                <c:pt idx="166">
                  <c:v>-0.81816239877830466</c:v>
                </c:pt>
                <c:pt idx="167">
                  <c:v>5.5758936274979298E-2</c:v>
                </c:pt>
                <c:pt idx="168">
                  <c:v>-0.34205195779585895</c:v>
                </c:pt>
                <c:pt idx="169">
                  <c:v>4.4171243458372089E-2</c:v>
                </c:pt>
                <c:pt idx="170">
                  <c:v>4.1085794195504741</c:v>
                </c:pt>
                <c:pt idx="171">
                  <c:v>0.74936832624424632</c:v>
                </c:pt>
                <c:pt idx="172">
                  <c:v>3.4506995033981824</c:v>
                </c:pt>
                <c:pt idx="173">
                  <c:v>-0.84203172524947822</c:v>
                </c:pt>
                <c:pt idx="174">
                  <c:v>1.3971004034730559</c:v>
                </c:pt>
                <c:pt idx="175">
                  <c:v>-1.011172692325903</c:v>
                </c:pt>
                <c:pt idx="176">
                  <c:v>-0.70392896297625285</c:v>
                </c:pt>
                <c:pt idx="177">
                  <c:v>-0.38195686989948374</c:v>
                </c:pt>
                <c:pt idx="178">
                  <c:v>2.0445200567213782</c:v>
                </c:pt>
                <c:pt idx="179">
                  <c:v>-0.73451923808039332</c:v>
                </c:pt>
                <c:pt idx="180">
                  <c:v>-0.95858764574585065</c:v>
                </c:pt>
                <c:pt idx="181">
                  <c:v>2.4324264075992241</c:v>
                </c:pt>
                <c:pt idx="182">
                  <c:v>-1.9727913060926525</c:v>
                </c:pt>
                <c:pt idx="183">
                  <c:v>2.945353594289724</c:v>
                </c:pt>
                <c:pt idx="184">
                  <c:v>-1.8434854524541384</c:v>
                </c:pt>
                <c:pt idx="185">
                  <c:v>1.4201769865879288</c:v>
                </c:pt>
                <c:pt idx="186">
                  <c:v>0.30148440689547495</c:v>
                </c:pt>
                <c:pt idx="187">
                  <c:v>-2.4190579812728821</c:v>
                </c:pt>
                <c:pt idx="188">
                  <c:v>0.56113932066706296</c:v>
                </c:pt>
                <c:pt idx="189">
                  <c:v>0.62805299624110544</c:v>
                </c:pt>
                <c:pt idx="190">
                  <c:v>-0.9962050319589828</c:v>
                </c:pt>
                <c:pt idx="191">
                  <c:v>1.3365572472189653</c:v>
                </c:pt>
                <c:pt idx="192">
                  <c:v>-1.0739945618176994</c:v>
                </c:pt>
                <c:pt idx="193">
                  <c:v>-0.39031176818868785</c:v>
                </c:pt>
                <c:pt idx="194">
                  <c:v>1.4858262663026771</c:v>
                </c:pt>
                <c:pt idx="195">
                  <c:v>-0.30575374231967212</c:v>
                </c:pt>
                <c:pt idx="196">
                  <c:v>7.5006870642571277E-2</c:v>
                </c:pt>
                <c:pt idx="197">
                  <c:v>-0.40560803048379235</c:v>
                </c:pt>
                <c:pt idx="198">
                  <c:v>-0.21044276631393899</c:v>
                </c:pt>
                <c:pt idx="199">
                  <c:v>-0.22430442995958666</c:v>
                </c:pt>
                <c:pt idx="200">
                  <c:v>1.1086217289442142</c:v>
                </c:pt>
                <c:pt idx="201">
                  <c:v>-0.1758935744664436</c:v>
                </c:pt>
                <c:pt idx="202">
                  <c:v>-3.1470659704265991E-2</c:v>
                </c:pt>
                <c:pt idx="203">
                  <c:v>0.76068738186545826</c:v>
                </c:pt>
                <c:pt idx="204">
                  <c:v>0.51582993834435209</c:v>
                </c:pt>
                <c:pt idx="205">
                  <c:v>-0.19456893988666568</c:v>
                </c:pt>
                <c:pt idx="206">
                  <c:v>-1.9269173633737093</c:v>
                </c:pt>
                <c:pt idx="207">
                  <c:v>-1.1794246084858027</c:v>
                </c:pt>
                <c:pt idx="208">
                  <c:v>7.3056710246196754E-2</c:v>
                </c:pt>
                <c:pt idx="209">
                  <c:v>-1.932206231082088</c:v>
                </c:pt>
                <c:pt idx="210">
                  <c:v>1.4454350340179967</c:v>
                </c:pt>
                <c:pt idx="211">
                  <c:v>3.0834028118486803</c:v>
                </c:pt>
                <c:pt idx="212">
                  <c:v>0.29490252623764768</c:v>
                </c:pt>
                <c:pt idx="213">
                  <c:v>2.7119549892925745</c:v>
                </c:pt>
                <c:pt idx="214">
                  <c:v>-1.070162085363993</c:v>
                </c:pt>
                <c:pt idx="215">
                  <c:v>-1.1040440992642138</c:v>
                </c:pt>
                <c:pt idx="216">
                  <c:v>-0.51217940607717161</c:v>
                </c:pt>
                <c:pt idx="217">
                  <c:v>-0.20866252679694819</c:v>
                </c:pt>
                <c:pt idx="218">
                  <c:v>-1.0601423530828136</c:v>
                </c:pt>
                <c:pt idx="219">
                  <c:v>-5.3990835229663858E-2</c:v>
                </c:pt>
                <c:pt idx="220">
                  <c:v>1.0727474839157249</c:v>
                </c:pt>
                <c:pt idx="221">
                  <c:v>0.18012265666290839</c:v>
                </c:pt>
                <c:pt idx="222">
                  <c:v>9.1694234247092332E-2</c:v>
                </c:pt>
                <c:pt idx="223">
                  <c:v>-0.79295999572137355</c:v>
                </c:pt>
                <c:pt idx="224">
                  <c:v>-0.17634942672028453</c:v>
                </c:pt>
                <c:pt idx="225">
                  <c:v>-9.2834020499043213E-2</c:v>
                </c:pt>
                <c:pt idx="226">
                  <c:v>-0.28416846235063797</c:v>
                </c:pt>
                <c:pt idx="227">
                  <c:v>0.46500272112094931</c:v>
                </c:pt>
                <c:pt idx="228">
                  <c:v>-0.16071419626364492</c:v>
                </c:pt>
                <c:pt idx="229">
                  <c:v>-1.5370554249308817</c:v>
                </c:pt>
                <c:pt idx="230">
                  <c:v>0.42460871833526515</c:v>
                </c:pt>
                <c:pt idx="231">
                  <c:v>1.2926840687567864</c:v>
                </c:pt>
                <c:pt idx="232">
                  <c:v>-0.54800315758207385</c:v>
                </c:pt>
                <c:pt idx="233">
                  <c:v>0.61580591746462598</c:v>
                </c:pt>
                <c:pt idx="234">
                  <c:v>-0.70190917953112453</c:v>
                </c:pt>
                <c:pt idx="235">
                  <c:v>-1.1075435744078277</c:v>
                </c:pt>
                <c:pt idx="236">
                  <c:v>-2.8476595400802731</c:v>
                </c:pt>
                <c:pt idx="237">
                  <c:v>7.5449903684738473E-2</c:v>
                </c:pt>
                <c:pt idx="238">
                  <c:v>2.0017982108282943</c:v>
                </c:pt>
                <c:pt idx="239">
                  <c:v>-1.5184792376033669</c:v>
                </c:pt>
                <c:pt idx="240">
                  <c:v>-1.0583526586550613</c:v>
                </c:pt>
                <c:pt idx="241">
                  <c:v>-0.93366393652378177</c:v>
                </c:pt>
                <c:pt idx="242">
                  <c:v>0.22843009665536318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5246-46A7-ADF2-C275421C82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6766383"/>
        <c:axId val="996765423"/>
      </c:scatterChart>
      <c:valAx>
        <c:axId val="99676638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Sun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996765423"/>
        <c:crosses val="autoZero"/>
        <c:crossBetween val="midCat"/>
      </c:valAx>
      <c:valAx>
        <c:axId val="996765423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Residuals</a:t>
                </a:r>
              </a:p>
            </c:rich>
          </c:tx>
          <c:overlay val="0"/>
        </c:title>
        <c:numFmt formatCode="0.00" sourceLinked="1"/>
        <c:majorTickMark val="out"/>
        <c:minorTickMark val="none"/>
        <c:tickLblPos val="nextTo"/>
        <c:crossAx val="996766383"/>
        <c:crosses val="autoZero"/>
        <c:crossBetween val="midCat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time  Residual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xVal>
            <c:numRef>
              <c:f>'Data '!$I$2:$I$244</c:f>
              <c:numCache>
                <c:formatCode>General</c:formatCode>
                <c:ptCount val="243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0</c:v>
                </c:pt>
                <c:pt idx="5">
                  <c:v>0</c:v>
                </c:pt>
                <c:pt idx="6">
                  <c:v>1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0</c:v>
                </c:pt>
                <c:pt idx="16">
                  <c:v>1</c:v>
                </c:pt>
                <c:pt idx="17">
                  <c:v>0</c:v>
                </c:pt>
                <c:pt idx="18">
                  <c:v>1</c:v>
                </c:pt>
                <c:pt idx="19">
                  <c:v>0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0</c:v>
                </c:pt>
                <c:pt idx="24">
                  <c:v>1</c:v>
                </c:pt>
                <c:pt idx="25">
                  <c:v>0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0</c:v>
                </c:pt>
                <c:pt idx="30">
                  <c:v>1</c:v>
                </c:pt>
                <c:pt idx="31">
                  <c:v>1</c:v>
                </c:pt>
                <c:pt idx="32">
                  <c:v>0</c:v>
                </c:pt>
                <c:pt idx="33">
                  <c:v>1</c:v>
                </c:pt>
                <c:pt idx="34">
                  <c:v>1</c:v>
                </c:pt>
                <c:pt idx="35">
                  <c:v>0</c:v>
                </c:pt>
                <c:pt idx="36">
                  <c:v>1</c:v>
                </c:pt>
                <c:pt idx="37">
                  <c:v>1</c:v>
                </c:pt>
                <c:pt idx="38">
                  <c:v>0</c:v>
                </c:pt>
                <c:pt idx="39">
                  <c:v>0</c:v>
                </c:pt>
                <c:pt idx="40">
                  <c:v>1</c:v>
                </c:pt>
                <c:pt idx="41">
                  <c:v>1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1</c:v>
                </c:pt>
                <c:pt idx="46">
                  <c:v>0</c:v>
                </c:pt>
                <c:pt idx="47">
                  <c:v>1</c:v>
                </c:pt>
                <c:pt idx="48">
                  <c:v>1</c:v>
                </c:pt>
                <c:pt idx="49">
                  <c:v>1</c:v>
                </c:pt>
                <c:pt idx="50">
                  <c:v>1</c:v>
                </c:pt>
                <c:pt idx="51">
                  <c:v>0</c:v>
                </c:pt>
                <c:pt idx="52">
                  <c:v>1</c:v>
                </c:pt>
                <c:pt idx="53">
                  <c:v>1</c:v>
                </c:pt>
                <c:pt idx="54">
                  <c:v>0</c:v>
                </c:pt>
                <c:pt idx="55">
                  <c:v>0</c:v>
                </c:pt>
                <c:pt idx="56">
                  <c:v>1</c:v>
                </c:pt>
                <c:pt idx="57">
                  <c:v>0</c:v>
                </c:pt>
                <c:pt idx="58">
                  <c:v>1</c:v>
                </c:pt>
                <c:pt idx="59">
                  <c:v>1</c:v>
                </c:pt>
                <c:pt idx="60">
                  <c:v>1</c:v>
                </c:pt>
                <c:pt idx="61">
                  <c:v>1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1</c:v>
                </c:pt>
                <c:pt idx="67">
                  <c:v>1</c:v>
                </c:pt>
                <c:pt idx="68">
                  <c:v>1</c:v>
                </c:pt>
                <c:pt idx="69">
                  <c:v>1</c:v>
                </c:pt>
                <c:pt idx="70">
                  <c:v>1</c:v>
                </c:pt>
                <c:pt idx="71">
                  <c:v>0</c:v>
                </c:pt>
                <c:pt idx="72">
                  <c:v>0</c:v>
                </c:pt>
                <c:pt idx="73">
                  <c:v>1</c:v>
                </c:pt>
                <c:pt idx="74">
                  <c:v>1</c:v>
                </c:pt>
                <c:pt idx="75">
                  <c:v>0</c:v>
                </c:pt>
                <c:pt idx="76">
                  <c:v>1</c:v>
                </c:pt>
                <c:pt idx="77">
                  <c:v>1</c:v>
                </c:pt>
                <c:pt idx="78">
                  <c:v>1</c:v>
                </c:pt>
                <c:pt idx="79">
                  <c:v>1</c:v>
                </c:pt>
                <c:pt idx="80">
                  <c:v>1</c:v>
                </c:pt>
                <c:pt idx="81">
                  <c:v>1</c:v>
                </c:pt>
                <c:pt idx="82">
                  <c:v>1</c:v>
                </c:pt>
                <c:pt idx="83">
                  <c:v>1</c:v>
                </c:pt>
                <c:pt idx="84">
                  <c:v>1</c:v>
                </c:pt>
                <c:pt idx="85">
                  <c:v>0</c:v>
                </c:pt>
                <c:pt idx="86">
                  <c:v>1</c:v>
                </c:pt>
                <c:pt idx="87">
                  <c:v>1</c:v>
                </c:pt>
                <c:pt idx="88">
                  <c:v>1</c:v>
                </c:pt>
                <c:pt idx="89">
                  <c:v>1</c:v>
                </c:pt>
                <c:pt idx="90">
                  <c:v>1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1</c:v>
                </c:pt>
                <c:pt idx="96">
                  <c:v>1</c:v>
                </c:pt>
                <c:pt idx="97">
                  <c:v>0</c:v>
                </c:pt>
                <c:pt idx="98">
                  <c:v>1</c:v>
                </c:pt>
                <c:pt idx="99">
                  <c:v>1</c:v>
                </c:pt>
                <c:pt idx="100">
                  <c:v>1</c:v>
                </c:pt>
                <c:pt idx="101">
                  <c:v>0</c:v>
                </c:pt>
                <c:pt idx="102">
                  <c:v>0</c:v>
                </c:pt>
                <c:pt idx="103">
                  <c:v>1</c:v>
                </c:pt>
                <c:pt idx="104">
                  <c:v>0</c:v>
                </c:pt>
                <c:pt idx="105">
                  <c:v>1</c:v>
                </c:pt>
                <c:pt idx="106">
                  <c:v>0</c:v>
                </c:pt>
                <c:pt idx="107">
                  <c:v>0</c:v>
                </c:pt>
                <c:pt idx="108">
                  <c:v>1</c:v>
                </c:pt>
                <c:pt idx="109">
                  <c:v>1</c:v>
                </c:pt>
                <c:pt idx="110">
                  <c:v>1</c:v>
                </c:pt>
                <c:pt idx="111">
                  <c:v>1</c:v>
                </c:pt>
                <c:pt idx="112">
                  <c:v>1</c:v>
                </c:pt>
                <c:pt idx="113">
                  <c:v>1</c:v>
                </c:pt>
                <c:pt idx="114">
                  <c:v>0</c:v>
                </c:pt>
                <c:pt idx="115">
                  <c:v>1</c:v>
                </c:pt>
                <c:pt idx="116">
                  <c:v>1</c:v>
                </c:pt>
                <c:pt idx="117">
                  <c:v>0</c:v>
                </c:pt>
                <c:pt idx="118">
                  <c:v>1</c:v>
                </c:pt>
                <c:pt idx="119">
                  <c:v>1</c:v>
                </c:pt>
                <c:pt idx="120">
                  <c:v>1</c:v>
                </c:pt>
                <c:pt idx="121">
                  <c:v>1</c:v>
                </c:pt>
                <c:pt idx="122">
                  <c:v>1</c:v>
                </c:pt>
                <c:pt idx="123">
                  <c:v>1</c:v>
                </c:pt>
                <c:pt idx="124">
                  <c:v>1</c:v>
                </c:pt>
                <c:pt idx="125">
                  <c:v>1</c:v>
                </c:pt>
                <c:pt idx="126">
                  <c:v>1</c:v>
                </c:pt>
                <c:pt idx="127">
                  <c:v>1</c:v>
                </c:pt>
                <c:pt idx="128">
                  <c:v>1</c:v>
                </c:pt>
                <c:pt idx="129">
                  <c:v>0</c:v>
                </c:pt>
                <c:pt idx="130">
                  <c:v>0</c:v>
                </c:pt>
                <c:pt idx="131">
                  <c:v>1</c:v>
                </c:pt>
                <c:pt idx="132">
                  <c:v>1</c:v>
                </c:pt>
                <c:pt idx="133">
                  <c:v>1</c:v>
                </c:pt>
                <c:pt idx="134">
                  <c:v>1</c:v>
                </c:pt>
                <c:pt idx="135">
                  <c:v>0</c:v>
                </c:pt>
                <c:pt idx="136">
                  <c:v>1</c:v>
                </c:pt>
                <c:pt idx="137">
                  <c:v>0</c:v>
                </c:pt>
                <c:pt idx="138">
                  <c:v>1</c:v>
                </c:pt>
                <c:pt idx="139">
                  <c:v>0</c:v>
                </c:pt>
                <c:pt idx="140">
                  <c:v>0</c:v>
                </c:pt>
                <c:pt idx="141">
                  <c:v>1</c:v>
                </c:pt>
                <c:pt idx="142">
                  <c:v>1</c:v>
                </c:pt>
                <c:pt idx="143">
                  <c:v>1</c:v>
                </c:pt>
                <c:pt idx="144">
                  <c:v>0</c:v>
                </c:pt>
                <c:pt idx="145">
                  <c:v>1</c:v>
                </c:pt>
                <c:pt idx="146">
                  <c:v>1</c:v>
                </c:pt>
                <c:pt idx="147">
                  <c:v>1</c:v>
                </c:pt>
                <c:pt idx="148">
                  <c:v>0</c:v>
                </c:pt>
                <c:pt idx="149">
                  <c:v>1</c:v>
                </c:pt>
                <c:pt idx="150">
                  <c:v>1</c:v>
                </c:pt>
                <c:pt idx="151">
                  <c:v>1</c:v>
                </c:pt>
                <c:pt idx="152">
                  <c:v>1</c:v>
                </c:pt>
                <c:pt idx="153">
                  <c:v>0</c:v>
                </c:pt>
                <c:pt idx="154">
                  <c:v>1</c:v>
                </c:pt>
                <c:pt idx="155">
                  <c:v>1</c:v>
                </c:pt>
                <c:pt idx="156">
                  <c:v>1</c:v>
                </c:pt>
                <c:pt idx="157">
                  <c:v>1</c:v>
                </c:pt>
                <c:pt idx="158">
                  <c:v>1</c:v>
                </c:pt>
                <c:pt idx="159">
                  <c:v>1</c:v>
                </c:pt>
                <c:pt idx="160">
                  <c:v>1</c:v>
                </c:pt>
                <c:pt idx="161">
                  <c:v>1</c:v>
                </c:pt>
                <c:pt idx="162">
                  <c:v>0</c:v>
                </c:pt>
                <c:pt idx="163">
                  <c:v>1</c:v>
                </c:pt>
                <c:pt idx="164">
                  <c:v>1</c:v>
                </c:pt>
                <c:pt idx="165">
                  <c:v>1</c:v>
                </c:pt>
                <c:pt idx="166">
                  <c:v>1</c:v>
                </c:pt>
                <c:pt idx="167">
                  <c:v>1</c:v>
                </c:pt>
                <c:pt idx="168">
                  <c:v>1</c:v>
                </c:pt>
                <c:pt idx="169">
                  <c:v>1</c:v>
                </c:pt>
                <c:pt idx="170">
                  <c:v>1</c:v>
                </c:pt>
                <c:pt idx="171">
                  <c:v>1</c:v>
                </c:pt>
                <c:pt idx="172">
                  <c:v>0</c:v>
                </c:pt>
                <c:pt idx="173">
                  <c:v>0</c:v>
                </c:pt>
                <c:pt idx="174">
                  <c:v>1</c:v>
                </c:pt>
                <c:pt idx="175">
                  <c:v>1</c:v>
                </c:pt>
                <c:pt idx="176">
                  <c:v>1</c:v>
                </c:pt>
                <c:pt idx="177">
                  <c:v>1</c:v>
                </c:pt>
                <c:pt idx="178">
                  <c:v>1</c:v>
                </c:pt>
                <c:pt idx="179">
                  <c:v>1</c:v>
                </c:pt>
                <c:pt idx="180">
                  <c:v>1</c:v>
                </c:pt>
                <c:pt idx="181">
                  <c:v>0</c:v>
                </c:pt>
                <c:pt idx="182">
                  <c:v>1</c:v>
                </c:pt>
                <c:pt idx="183">
                  <c:v>1</c:v>
                </c:pt>
                <c:pt idx="184">
                  <c:v>1</c:v>
                </c:pt>
                <c:pt idx="185">
                  <c:v>1</c:v>
                </c:pt>
                <c:pt idx="186">
                  <c:v>0</c:v>
                </c:pt>
                <c:pt idx="187">
                  <c:v>1</c:v>
                </c:pt>
                <c:pt idx="188">
                  <c:v>1</c:v>
                </c:pt>
                <c:pt idx="189">
                  <c:v>1</c:v>
                </c:pt>
                <c:pt idx="190">
                  <c:v>1</c:v>
                </c:pt>
                <c:pt idx="191">
                  <c:v>1</c:v>
                </c:pt>
                <c:pt idx="192">
                  <c:v>1</c:v>
                </c:pt>
                <c:pt idx="193">
                  <c:v>1</c:v>
                </c:pt>
                <c:pt idx="194">
                  <c:v>1</c:v>
                </c:pt>
                <c:pt idx="195">
                  <c:v>1</c:v>
                </c:pt>
                <c:pt idx="196">
                  <c:v>1</c:v>
                </c:pt>
                <c:pt idx="197">
                  <c:v>1</c:v>
                </c:pt>
                <c:pt idx="198">
                  <c:v>0</c:v>
                </c:pt>
                <c:pt idx="199">
                  <c:v>1</c:v>
                </c:pt>
                <c:pt idx="200">
                  <c:v>0</c:v>
                </c:pt>
                <c:pt idx="201">
                  <c:v>1</c:v>
                </c:pt>
                <c:pt idx="202">
                  <c:v>1</c:v>
                </c:pt>
                <c:pt idx="203">
                  <c:v>1</c:v>
                </c:pt>
                <c:pt idx="204">
                  <c:v>0</c:v>
                </c:pt>
                <c:pt idx="205">
                  <c:v>1</c:v>
                </c:pt>
                <c:pt idx="206">
                  <c:v>1</c:v>
                </c:pt>
                <c:pt idx="207">
                  <c:v>1</c:v>
                </c:pt>
                <c:pt idx="208">
                  <c:v>0</c:v>
                </c:pt>
                <c:pt idx="209">
                  <c:v>1</c:v>
                </c:pt>
                <c:pt idx="210">
                  <c:v>1</c:v>
                </c:pt>
                <c:pt idx="211">
                  <c:v>1</c:v>
                </c:pt>
                <c:pt idx="212">
                  <c:v>1</c:v>
                </c:pt>
                <c:pt idx="213">
                  <c:v>1</c:v>
                </c:pt>
                <c:pt idx="214">
                  <c:v>1</c:v>
                </c:pt>
                <c:pt idx="215">
                  <c:v>1</c:v>
                </c:pt>
                <c:pt idx="216">
                  <c:v>1</c:v>
                </c:pt>
                <c:pt idx="217">
                  <c:v>1</c:v>
                </c:pt>
                <c:pt idx="218">
                  <c:v>1</c:v>
                </c:pt>
                <c:pt idx="219">
                  <c:v>0</c:v>
                </c:pt>
                <c:pt idx="220">
                  <c:v>1</c:v>
                </c:pt>
                <c:pt idx="221">
                  <c:v>1</c:v>
                </c:pt>
                <c:pt idx="222">
                  <c:v>0</c:v>
                </c:pt>
                <c:pt idx="223">
                  <c:v>1</c:v>
                </c:pt>
                <c:pt idx="224">
                  <c:v>1</c:v>
                </c:pt>
                <c:pt idx="225">
                  <c:v>1</c:v>
                </c:pt>
                <c:pt idx="226">
                  <c:v>0</c:v>
                </c:pt>
                <c:pt idx="227">
                  <c:v>1</c:v>
                </c:pt>
                <c:pt idx="228">
                  <c:v>1</c:v>
                </c:pt>
                <c:pt idx="229">
                  <c:v>1</c:v>
                </c:pt>
                <c:pt idx="230">
                  <c:v>1</c:v>
                </c:pt>
                <c:pt idx="231">
                  <c:v>1</c:v>
                </c:pt>
                <c:pt idx="232">
                  <c:v>1</c:v>
                </c:pt>
                <c:pt idx="233">
                  <c:v>1</c:v>
                </c:pt>
                <c:pt idx="234">
                  <c:v>1</c:v>
                </c:pt>
                <c:pt idx="235">
                  <c:v>0</c:v>
                </c:pt>
                <c:pt idx="236">
                  <c:v>0</c:v>
                </c:pt>
                <c:pt idx="237">
                  <c:v>1</c:v>
                </c:pt>
                <c:pt idx="238">
                  <c:v>1</c:v>
                </c:pt>
                <c:pt idx="239">
                  <c:v>1</c:v>
                </c:pt>
                <c:pt idx="240">
                  <c:v>1</c:v>
                </c:pt>
                <c:pt idx="241">
                  <c:v>1</c:v>
                </c:pt>
                <c:pt idx="242">
                  <c:v>1</c:v>
                </c:pt>
              </c:numCache>
            </c:numRef>
          </c:xVal>
          <c:yVal>
            <c:numRef>
              <c:f>'Model 3'!$O$4:$O$246</c:f>
              <c:numCache>
                <c:formatCode>0.00</c:formatCode>
                <c:ptCount val="243"/>
                <c:pt idx="0">
                  <c:v>-1.7264916373525201</c:v>
                </c:pt>
                <c:pt idx="1">
                  <c:v>-0.59039632965188393</c:v>
                </c:pt>
                <c:pt idx="2">
                  <c:v>0.24214260491435446</c:v>
                </c:pt>
                <c:pt idx="3">
                  <c:v>-2.3868707219409036E-2</c:v>
                </c:pt>
                <c:pt idx="4">
                  <c:v>-0.19626340734111958</c:v>
                </c:pt>
                <c:pt idx="5">
                  <c:v>0.87193513497083242</c:v>
                </c:pt>
                <c:pt idx="6">
                  <c:v>7.3933025265819463E-2</c:v>
                </c:pt>
                <c:pt idx="7">
                  <c:v>-0.86819261517346735</c:v>
                </c:pt>
                <c:pt idx="8">
                  <c:v>-0.55808017813340172</c:v>
                </c:pt>
                <c:pt idx="9">
                  <c:v>0.7364690137140939</c:v>
                </c:pt>
                <c:pt idx="10">
                  <c:v>-0.35769692770050154</c:v>
                </c:pt>
                <c:pt idx="11">
                  <c:v>0.18627552722511886</c:v>
                </c:pt>
                <c:pt idx="12">
                  <c:v>-0.98395976621820247</c:v>
                </c:pt>
                <c:pt idx="13">
                  <c:v>-0.19034388012986092</c:v>
                </c:pt>
                <c:pt idx="14">
                  <c:v>0.48745549491898155</c:v>
                </c:pt>
                <c:pt idx="15">
                  <c:v>0.78441322693343984</c:v>
                </c:pt>
                <c:pt idx="16">
                  <c:v>-0.6137446503283428</c:v>
                </c:pt>
                <c:pt idx="17">
                  <c:v>0.89780485691504408</c:v>
                </c:pt>
                <c:pt idx="18">
                  <c:v>0.58930675787407738</c:v>
                </c:pt>
                <c:pt idx="19">
                  <c:v>0.22303754806680631</c:v>
                </c:pt>
                <c:pt idx="20">
                  <c:v>1.3868940666117968</c:v>
                </c:pt>
                <c:pt idx="21">
                  <c:v>-0.20117377943789139</c:v>
                </c:pt>
                <c:pt idx="22">
                  <c:v>-0.29439552116604473</c:v>
                </c:pt>
                <c:pt idx="23">
                  <c:v>2.5046847324686254</c:v>
                </c:pt>
                <c:pt idx="24">
                  <c:v>0.30749612618779087</c:v>
                </c:pt>
                <c:pt idx="25">
                  <c:v>-0.6948997451299137</c:v>
                </c:pt>
                <c:pt idx="26">
                  <c:v>-0.26349507605702982</c:v>
                </c:pt>
                <c:pt idx="27">
                  <c:v>-0.19928949737896495</c:v>
                </c:pt>
                <c:pt idx="28">
                  <c:v>1.2499865851366683</c:v>
                </c:pt>
                <c:pt idx="29">
                  <c:v>0.10925500049440551</c:v>
                </c:pt>
                <c:pt idx="30">
                  <c:v>-0.45281079583613337</c:v>
                </c:pt>
                <c:pt idx="31">
                  <c:v>-0.58588652819778897</c:v>
                </c:pt>
                <c:pt idx="32">
                  <c:v>0.54264265657134692</c:v>
                </c:pt>
                <c:pt idx="33">
                  <c:v>-0.89112177518815106</c:v>
                </c:pt>
                <c:pt idx="34">
                  <c:v>0.59011286222198667</c:v>
                </c:pt>
                <c:pt idx="35">
                  <c:v>0.15106545499003721</c:v>
                </c:pt>
                <c:pt idx="36">
                  <c:v>-0.71717978801730542</c:v>
                </c:pt>
                <c:pt idx="37">
                  <c:v>0.25998731106037987</c:v>
                </c:pt>
                <c:pt idx="38">
                  <c:v>-0.63189931339053507</c:v>
                </c:pt>
                <c:pt idx="39">
                  <c:v>0.87029748106525506</c:v>
                </c:pt>
                <c:pt idx="40">
                  <c:v>-0.4516863964833675</c:v>
                </c:pt>
                <c:pt idx="41">
                  <c:v>-0.20657650225239887</c:v>
                </c:pt>
                <c:pt idx="42">
                  <c:v>0.64578178737523384</c:v>
                </c:pt>
                <c:pt idx="43">
                  <c:v>-0.69198914620041507</c:v>
                </c:pt>
                <c:pt idx="44">
                  <c:v>1.279449095198899</c:v>
                </c:pt>
                <c:pt idx="45">
                  <c:v>0.17505492377290377</c:v>
                </c:pt>
                <c:pt idx="46">
                  <c:v>1.8030402473147009</c:v>
                </c:pt>
                <c:pt idx="47">
                  <c:v>1.4906091579104714</c:v>
                </c:pt>
                <c:pt idx="48">
                  <c:v>-1.9197839586630181</c:v>
                </c:pt>
                <c:pt idx="49">
                  <c:v>0.19865991593395727</c:v>
                </c:pt>
                <c:pt idx="50">
                  <c:v>0.21796974347713327</c:v>
                </c:pt>
                <c:pt idx="51">
                  <c:v>0.49612215256371295</c:v>
                </c:pt>
                <c:pt idx="52">
                  <c:v>0.42876451311501551</c:v>
                </c:pt>
                <c:pt idx="53">
                  <c:v>-0.47653833804791068</c:v>
                </c:pt>
                <c:pt idx="54">
                  <c:v>0.4764417434368946</c:v>
                </c:pt>
                <c:pt idx="55">
                  <c:v>0.5717509613998466</c:v>
                </c:pt>
                <c:pt idx="56">
                  <c:v>-1.8589349859498752</c:v>
                </c:pt>
                <c:pt idx="57">
                  <c:v>-2.0290239875404801</c:v>
                </c:pt>
                <c:pt idx="58">
                  <c:v>-0.21913241705169662</c:v>
                </c:pt>
                <c:pt idx="59">
                  <c:v>0.81906800996733331</c:v>
                </c:pt>
                <c:pt idx="60">
                  <c:v>0.37636686671816832</c:v>
                </c:pt>
                <c:pt idx="61">
                  <c:v>-0.22179173646732631</c:v>
                </c:pt>
                <c:pt idx="62">
                  <c:v>2.163997605003054E-2</c:v>
                </c:pt>
                <c:pt idx="63">
                  <c:v>0.76302679571402177</c:v>
                </c:pt>
                <c:pt idx="64">
                  <c:v>-0.19803734788189908</c:v>
                </c:pt>
                <c:pt idx="65">
                  <c:v>7.6856930194007855E-2</c:v>
                </c:pt>
                <c:pt idx="66">
                  <c:v>-0.11860109984411027</c:v>
                </c:pt>
                <c:pt idx="67">
                  <c:v>-6.5923789445083925E-2</c:v>
                </c:pt>
                <c:pt idx="68">
                  <c:v>-0.90121606095633755</c:v>
                </c:pt>
                <c:pt idx="69">
                  <c:v>-0.24509569884038296</c:v>
                </c:pt>
                <c:pt idx="70">
                  <c:v>-0.16602811838734133</c:v>
                </c:pt>
                <c:pt idx="71">
                  <c:v>0.17676851545019012</c:v>
                </c:pt>
                <c:pt idx="72">
                  <c:v>-0.3482648476372181</c:v>
                </c:pt>
                <c:pt idx="73">
                  <c:v>1.6609187028206391</c:v>
                </c:pt>
                <c:pt idx="74">
                  <c:v>-0.22619875377606213</c:v>
                </c:pt>
                <c:pt idx="75">
                  <c:v>-0.74345396573457867</c:v>
                </c:pt>
                <c:pt idx="76">
                  <c:v>0.47014219240495514</c:v>
                </c:pt>
                <c:pt idx="77">
                  <c:v>4.765806521539373E-2</c:v>
                </c:pt>
                <c:pt idx="78">
                  <c:v>-0.18093726571172253</c:v>
                </c:pt>
                <c:pt idx="79">
                  <c:v>4.5539962772127573E-2</c:v>
                </c:pt>
                <c:pt idx="80">
                  <c:v>0.21578515598022552</c:v>
                </c:pt>
                <c:pt idx="81">
                  <c:v>0.79502454301798187</c:v>
                </c:pt>
                <c:pt idx="82">
                  <c:v>-1.0950379833263302E-2</c:v>
                </c:pt>
                <c:pt idx="83">
                  <c:v>0.96566477113083415</c:v>
                </c:pt>
                <c:pt idx="84">
                  <c:v>-0.51076987830395293</c:v>
                </c:pt>
                <c:pt idx="85">
                  <c:v>0.46294118409714091</c:v>
                </c:pt>
                <c:pt idx="86">
                  <c:v>-0.26223097080352176</c:v>
                </c:pt>
                <c:pt idx="87">
                  <c:v>1.2420641938143553</c:v>
                </c:pt>
                <c:pt idx="88">
                  <c:v>2.4849437954320601</c:v>
                </c:pt>
                <c:pt idx="89">
                  <c:v>-2.986531588098007E-2</c:v>
                </c:pt>
                <c:pt idx="90">
                  <c:v>-0.77332210061288231</c:v>
                </c:pt>
                <c:pt idx="91">
                  <c:v>0.25527117040846514</c:v>
                </c:pt>
                <c:pt idx="92">
                  <c:v>-0.61518294905713855</c:v>
                </c:pt>
                <c:pt idx="93">
                  <c:v>1.6867979823735206</c:v>
                </c:pt>
                <c:pt idx="94">
                  <c:v>-5.3570541801931881E-2</c:v>
                </c:pt>
                <c:pt idx="95">
                  <c:v>-0.45300575772065166</c:v>
                </c:pt>
                <c:pt idx="96">
                  <c:v>0.38624764639583864</c:v>
                </c:pt>
                <c:pt idx="97">
                  <c:v>-0.67384783177990037</c:v>
                </c:pt>
                <c:pt idx="98">
                  <c:v>-2.173915020494066E-2</c:v>
                </c:pt>
                <c:pt idx="99">
                  <c:v>-0.79769654409007007</c:v>
                </c:pt>
                <c:pt idx="100">
                  <c:v>0.35606522653526396</c:v>
                </c:pt>
                <c:pt idx="101">
                  <c:v>0.47555275289908217</c:v>
                </c:pt>
                <c:pt idx="102">
                  <c:v>-2.8110391049385948</c:v>
                </c:pt>
                <c:pt idx="103">
                  <c:v>0.41095981314309071</c:v>
                </c:pt>
                <c:pt idx="104">
                  <c:v>1.0693416403162539</c:v>
                </c:pt>
                <c:pt idx="105">
                  <c:v>-0.72814268786585745</c:v>
                </c:pt>
                <c:pt idx="106">
                  <c:v>1.207482872989325</c:v>
                </c:pt>
                <c:pt idx="107">
                  <c:v>0.99182062098863621</c:v>
                </c:pt>
                <c:pt idx="108">
                  <c:v>1.0366796766456483</c:v>
                </c:pt>
                <c:pt idx="109">
                  <c:v>1.6967057588476653</c:v>
                </c:pt>
                <c:pt idx="110">
                  <c:v>0.67702034369711495</c:v>
                </c:pt>
                <c:pt idx="111">
                  <c:v>-0.54384738417105583</c:v>
                </c:pt>
                <c:pt idx="112">
                  <c:v>-0.86866206015593406</c:v>
                </c:pt>
                <c:pt idx="113">
                  <c:v>-0.80936209875334697</c:v>
                </c:pt>
                <c:pt idx="114">
                  <c:v>0.26407623192364804</c:v>
                </c:pt>
                <c:pt idx="115">
                  <c:v>0.73329397268133167</c:v>
                </c:pt>
                <c:pt idx="116">
                  <c:v>0.79382648046168036</c:v>
                </c:pt>
                <c:pt idx="117">
                  <c:v>-0.57180396579319481</c:v>
                </c:pt>
                <c:pt idx="118">
                  <c:v>-0.4398715099798951</c:v>
                </c:pt>
                <c:pt idx="119">
                  <c:v>-0.77204415297756057</c:v>
                </c:pt>
                <c:pt idx="120">
                  <c:v>0.17429178717972471</c:v>
                </c:pt>
                <c:pt idx="121">
                  <c:v>-0.65334727893766664</c:v>
                </c:pt>
                <c:pt idx="122">
                  <c:v>0.12163246776409498</c:v>
                </c:pt>
                <c:pt idx="123">
                  <c:v>-0.53793727924462598</c:v>
                </c:pt>
                <c:pt idx="124">
                  <c:v>0.2754074915878939</c:v>
                </c:pt>
                <c:pt idx="125">
                  <c:v>-0.38430638191503785</c:v>
                </c:pt>
                <c:pt idx="126">
                  <c:v>-0.35639691221811742</c:v>
                </c:pt>
                <c:pt idx="127">
                  <c:v>-0.43720924444630205</c:v>
                </c:pt>
                <c:pt idx="128">
                  <c:v>-0.14073054290347065</c:v>
                </c:pt>
                <c:pt idx="129">
                  <c:v>-1.1826924679766622</c:v>
                </c:pt>
                <c:pt idx="130">
                  <c:v>-1.3334717811010153</c:v>
                </c:pt>
                <c:pt idx="131">
                  <c:v>-0.15012406415053148</c:v>
                </c:pt>
                <c:pt idx="132">
                  <c:v>-0.62090234948818601</c:v>
                </c:pt>
                <c:pt idx="133">
                  <c:v>-0.22382011531037893</c:v>
                </c:pt>
                <c:pt idx="134">
                  <c:v>0.45966007282433807</c:v>
                </c:pt>
                <c:pt idx="135">
                  <c:v>-0.61974523289457695</c:v>
                </c:pt>
                <c:pt idx="136">
                  <c:v>-4.1589575827046144E-2</c:v>
                </c:pt>
                <c:pt idx="137">
                  <c:v>-0.40227385604794286</c:v>
                </c:pt>
                <c:pt idx="138">
                  <c:v>-0.45941015188367906</c:v>
                </c:pt>
                <c:pt idx="139">
                  <c:v>0.44120191290982902</c:v>
                </c:pt>
                <c:pt idx="140">
                  <c:v>0.78425184805326698</c:v>
                </c:pt>
                <c:pt idx="141">
                  <c:v>1.725096279548902</c:v>
                </c:pt>
                <c:pt idx="142">
                  <c:v>-0.44936730026344485</c:v>
                </c:pt>
                <c:pt idx="143">
                  <c:v>0.67534853185655042</c:v>
                </c:pt>
                <c:pt idx="144">
                  <c:v>-0.3175513845567508</c:v>
                </c:pt>
                <c:pt idx="145">
                  <c:v>-0.35463803791150261</c:v>
                </c:pt>
                <c:pt idx="146">
                  <c:v>-1.6423095194067499</c:v>
                </c:pt>
                <c:pt idx="147">
                  <c:v>-0.55699632753913519</c:v>
                </c:pt>
                <c:pt idx="148">
                  <c:v>-0.22536607270982678</c:v>
                </c:pt>
                <c:pt idx="149">
                  <c:v>0.25896725611253846</c:v>
                </c:pt>
                <c:pt idx="150">
                  <c:v>7.3507191451485987E-2</c:v>
                </c:pt>
                <c:pt idx="151">
                  <c:v>-0.3377380380229531</c:v>
                </c:pt>
                <c:pt idx="152">
                  <c:v>-0.16378251266984334</c:v>
                </c:pt>
                <c:pt idx="153">
                  <c:v>-1.7681940882324496</c:v>
                </c:pt>
                <c:pt idx="154">
                  <c:v>-1.3168666381131073</c:v>
                </c:pt>
                <c:pt idx="155">
                  <c:v>0.66099755344402755</c:v>
                </c:pt>
                <c:pt idx="156">
                  <c:v>-1.3505737559013546</c:v>
                </c:pt>
                <c:pt idx="157">
                  <c:v>-9.4975594485247061E-2</c:v>
                </c:pt>
                <c:pt idx="158">
                  <c:v>0.21342024976664975</c:v>
                </c:pt>
                <c:pt idx="159">
                  <c:v>-1.0071691409600856</c:v>
                </c:pt>
                <c:pt idx="160">
                  <c:v>1.9786816132402851E-2</c:v>
                </c:pt>
                <c:pt idx="161">
                  <c:v>0.20663934723982713</c:v>
                </c:pt>
                <c:pt idx="162">
                  <c:v>-0.83893406595632047</c:v>
                </c:pt>
                <c:pt idx="163">
                  <c:v>-0.40194361670101841</c:v>
                </c:pt>
                <c:pt idx="164">
                  <c:v>0.29765810474564658</c:v>
                </c:pt>
                <c:pt idx="165">
                  <c:v>-0.1092714850268357</c:v>
                </c:pt>
                <c:pt idx="166">
                  <c:v>-0.81816239877830466</c:v>
                </c:pt>
                <c:pt idx="167">
                  <c:v>5.5758936274979298E-2</c:v>
                </c:pt>
                <c:pt idx="168">
                  <c:v>-0.34205195779585895</c:v>
                </c:pt>
                <c:pt idx="169">
                  <c:v>4.4171243458372089E-2</c:v>
                </c:pt>
                <c:pt idx="170">
                  <c:v>4.1085794195504741</c:v>
                </c:pt>
                <c:pt idx="171">
                  <c:v>0.74936832624424632</c:v>
                </c:pt>
                <c:pt idx="172">
                  <c:v>3.4506995033981824</c:v>
                </c:pt>
                <c:pt idx="173">
                  <c:v>-0.84203172524947822</c:v>
                </c:pt>
                <c:pt idx="174">
                  <c:v>1.3971004034730559</c:v>
                </c:pt>
                <c:pt idx="175">
                  <c:v>-1.011172692325903</c:v>
                </c:pt>
                <c:pt idx="176">
                  <c:v>-0.70392896297625285</c:v>
                </c:pt>
                <c:pt idx="177">
                  <c:v>-0.38195686989948374</c:v>
                </c:pt>
                <c:pt idx="178">
                  <c:v>2.0445200567213782</c:v>
                </c:pt>
                <c:pt idx="179">
                  <c:v>-0.73451923808039332</c:v>
                </c:pt>
                <c:pt idx="180">
                  <c:v>-0.95858764574585065</c:v>
                </c:pt>
                <c:pt idx="181">
                  <c:v>2.4324264075992241</c:v>
                </c:pt>
                <c:pt idx="182">
                  <c:v>-1.9727913060926525</c:v>
                </c:pt>
                <c:pt idx="183">
                  <c:v>2.945353594289724</c:v>
                </c:pt>
                <c:pt idx="184">
                  <c:v>-1.8434854524541384</c:v>
                </c:pt>
                <c:pt idx="185">
                  <c:v>1.4201769865879288</c:v>
                </c:pt>
                <c:pt idx="186">
                  <c:v>0.30148440689547495</c:v>
                </c:pt>
                <c:pt idx="187">
                  <c:v>-2.4190579812728821</c:v>
                </c:pt>
                <c:pt idx="188">
                  <c:v>0.56113932066706296</c:v>
                </c:pt>
                <c:pt idx="189">
                  <c:v>0.62805299624110544</c:v>
                </c:pt>
                <c:pt idx="190">
                  <c:v>-0.9962050319589828</c:v>
                </c:pt>
                <c:pt idx="191">
                  <c:v>1.3365572472189653</c:v>
                </c:pt>
                <c:pt idx="192">
                  <c:v>-1.0739945618176994</c:v>
                </c:pt>
                <c:pt idx="193">
                  <c:v>-0.39031176818868785</c:v>
                </c:pt>
                <c:pt idx="194">
                  <c:v>1.4858262663026771</c:v>
                </c:pt>
                <c:pt idx="195">
                  <c:v>-0.30575374231967212</c:v>
                </c:pt>
                <c:pt idx="196">
                  <c:v>7.5006870642571277E-2</c:v>
                </c:pt>
                <c:pt idx="197">
                  <c:v>-0.40560803048379235</c:v>
                </c:pt>
                <c:pt idx="198">
                  <c:v>-0.21044276631393899</c:v>
                </c:pt>
                <c:pt idx="199">
                  <c:v>-0.22430442995958666</c:v>
                </c:pt>
                <c:pt idx="200">
                  <c:v>1.1086217289442142</c:v>
                </c:pt>
                <c:pt idx="201">
                  <c:v>-0.1758935744664436</c:v>
                </c:pt>
                <c:pt idx="202">
                  <c:v>-3.1470659704265991E-2</c:v>
                </c:pt>
                <c:pt idx="203">
                  <c:v>0.76068738186545826</c:v>
                </c:pt>
                <c:pt idx="204">
                  <c:v>0.51582993834435209</c:v>
                </c:pt>
                <c:pt idx="205">
                  <c:v>-0.19456893988666568</c:v>
                </c:pt>
                <c:pt idx="206">
                  <c:v>-1.9269173633737093</c:v>
                </c:pt>
                <c:pt idx="207">
                  <c:v>-1.1794246084858027</c:v>
                </c:pt>
                <c:pt idx="208">
                  <c:v>7.3056710246196754E-2</c:v>
                </c:pt>
                <c:pt idx="209">
                  <c:v>-1.932206231082088</c:v>
                </c:pt>
                <c:pt idx="210">
                  <c:v>1.4454350340179967</c:v>
                </c:pt>
                <c:pt idx="211">
                  <c:v>3.0834028118486803</c:v>
                </c:pt>
                <c:pt idx="212">
                  <c:v>0.29490252623764768</c:v>
                </c:pt>
                <c:pt idx="213">
                  <c:v>2.7119549892925745</c:v>
                </c:pt>
                <c:pt idx="214">
                  <c:v>-1.070162085363993</c:v>
                </c:pt>
                <c:pt idx="215">
                  <c:v>-1.1040440992642138</c:v>
                </c:pt>
                <c:pt idx="216">
                  <c:v>-0.51217940607717161</c:v>
                </c:pt>
                <c:pt idx="217">
                  <c:v>-0.20866252679694819</c:v>
                </c:pt>
                <c:pt idx="218">
                  <c:v>-1.0601423530828136</c:v>
                </c:pt>
                <c:pt idx="219">
                  <c:v>-5.3990835229663858E-2</c:v>
                </c:pt>
                <c:pt idx="220">
                  <c:v>1.0727474839157249</c:v>
                </c:pt>
                <c:pt idx="221">
                  <c:v>0.18012265666290839</c:v>
                </c:pt>
                <c:pt idx="222">
                  <c:v>9.1694234247092332E-2</c:v>
                </c:pt>
                <c:pt idx="223">
                  <c:v>-0.79295999572137355</c:v>
                </c:pt>
                <c:pt idx="224">
                  <c:v>-0.17634942672028453</c:v>
                </c:pt>
                <c:pt idx="225">
                  <c:v>-9.2834020499043213E-2</c:v>
                </c:pt>
                <c:pt idx="226">
                  <c:v>-0.28416846235063797</c:v>
                </c:pt>
                <c:pt idx="227">
                  <c:v>0.46500272112094931</c:v>
                </c:pt>
                <c:pt idx="228">
                  <c:v>-0.16071419626364492</c:v>
                </c:pt>
                <c:pt idx="229">
                  <c:v>-1.5370554249308817</c:v>
                </c:pt>
                <c:pt idx="230">
                  <c:v>0.42460871833526515</c:v>
                </c:pt>
                <c:pt idx="231">
                  <c:v>1.2926840687567864</c:v>
                </c:pt>
                <c:pt idx="232">
                  <c:v>-0.54800315758207385</c:v>
                </c:pt>
                <c:pt idx="233">
                  <c:v>0.61580591746462598</c:v>
                </c:pt>
                <c:pt idx="234">
                  <c:v>-0.70190917953112453</c:v>
                </c:pt>
                <c:pt idx="235">
                  <c:v>-1.1075435744078277</c:v>
                </c:pt>
                <c:pt idx="236">
                  <c:v>-2.8476595400802731</c:v>
                </c:pt>
                <c:pt idx="237">
                  <c:v>7.5449903684738473E-2</c:v>
                </c:pt>
                <c:pt idx="238">
                  <c:v>2.0017982108282943</c:v>
                </c:pt>
                <c:pt idx="239">
                  <c:v>-1.5184792376033669</c:v>
                </c:pt>
                <c:pt idx="240">
                  <c:v>-1.0583526586550613</c:v>
                </c:pt>
                <c:pt idx="241">
                  <c:v>-0.93366393652378177</c:v>
                </c:pt>
                <c:pt idx="242">
                  <c:v>0.22843009665536318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B971-4FE7-ADE4-F2ABF5E533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6766863"/>
        <c:axId val="996753423"/>
      </c:scatterChart>
      <c:valAx>
        <c:axId val="99676686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996753423"/>
        <c:crosses val="autoZero"/>
        <c:crossBetween val="midCat"/>
      </c:valAx>
      <c:valAx>
        <c:axId val="996753423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Residuals</a:t>
                </a:r>
              </a:p>
            </c:rich>
          </c:tx>
          <c:overlay val="0"/>
        </c:title>
        <c:numFmt formatCode="0.00" sourceLinked="1"/>
        <c:majorTickMark val="out"/>
        <c:minorTickMark val="none"/>
        <c:tickLblPos val="nextTo"/>
        <c:crossAx val="996766863"/>
        <c:crosses val="autoZero"/>
        <c:crossBetween val="midCat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size  Residual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xVal>
            <c:numRef>
              <c:f>'Data '!$J$2:$J$244</c:f>
              <c:numCache>
                <c:formatCode>General</c:formatCode>
                <c:ptCount val="243"/>
                <c:pt idx="0">
                  <c:v>1</c:v>
                </c:pt>
                <c:pt idx="1">
                  <c:v>2</c:v>
                </c:pt>
                <c:pt idx="2">
                  <c:v>1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1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1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  <c:pt idx="21">
                  <c:v>2</c:v>
                </c:pt>
                <c:pt idx="22">
                  <c:v>3</c:v>
                </c:pt>
                <c:pt idx="23">
                  <c:v>2</c:v>
                </c:pt>
                <c:pt idx="24">
                  <c:v>3</c:v>
                </c:pt>
                <c:pt idx="25">
                  <c:v>2</c:v>
                </c:pt>
                <c:pt idx="26">
                  <c:v>2</c:v>
                </c:pt>
                <c:pt idx="27">
                  <c:v>2</c:v>
                </c:pt>
                <c:pt idx="28">
                  <c:v>2</c:v>
                </c:pt>
                <c:pt idx="29">
                  <c:v>2</c:v>
                </c:pt>
                <c:pt idx="30">
                  <c:v>2</c:v>
                </c:pt>
                <c:pt idx="31">
                  <c:v>2</c:v>
                </c:pt>
                <c:pt idx="32">
                  <c:v>2</c:v>
                </c:pt>
                <c:pt idx="33">
                  <c:v>2</c:v>
                </c:pt>
                <c:pt idx="34">
                  <c:v>2</c:v>
                </c:pt>
                <c:pt idx="35">
                  <c:v>2</c:v>
                </c:pt>
                <c:pt idx="36">
                  <c:v>2</c:v>
                </c:pt>
                <c:pt idx="37">
                  <c:v>2</c:v>
                </c:pt>
                <c:pt idx="38">
                  <c:v>2</c:v>
                </c:pt>
                <c:pt idx="39">
                  <c:v>2</c:v>
                </c:pt>
                <c:pt idx="40">
                  <c:v>2</c:v>
                </c:pt>
                <c:pt idx="41">
                  <c:v>2</c:v>
                </c:pt>
                <c:pt idx="42">
                  <c:v>2</c:v>
                </c:pt>
                <c:pt idx="43">
                  <c:v>2</c:v>
                </c:pt>
                <c:pt idx="44">
                  <c:v>2</c:v>
                </c:pt>
                <c:pt idx="45">
                  <c:v>2</c:v>
                </c:pt>
                <c:pt idx="46">
                  <c:v>2</c:v>
                </c:pt>
                <c:pt idx="47">
                  <c:v>2</c:v>
                </c:pt>
                <c:pt idx="48">
                  <c:v>2</c:v>
                </c:pt>
                <c:pt idx="49">
                  <c:v>2</c:v>
                </c:pt>
                <c:pt idx="50">
                  <c:v>2</c:v>
                </c:pt>
                <c:pt idx="51">
                  <c:v>2</c:v>
                </c:pt>
                <c:pt idx="52">
                  <c:v>2</c:v>
                </c:pt>
                <c:pt idx="53">
                  <c:v>2</c:v>
                </c:pt>
                <c:pt idx="54">
                  <c:v>2</c:v>
                </c:pt>
                <c:pt idx="55">
                  <c:v>2</c:v>
                </c:pt>
                <c:pt idx="56">
                  <c:v>2</c:v>
                </c:pt>
                <c:pt idx="57">
                  <c:v>2</c:v>
                </c:pt>
                <c:pt idx="58">
                  <c:v>2</c:v>
                </c:pt>
                <c:pt idx="59">
                  <c:v>2</c:v>
                </c:pt>
                <c:pt idx="60">
                  <c:v>2</c:v>
                </c:pt>
                <c:pt idx="61">
                  <c:v>2</c:v>
                </c:pt>
                <c:pt idx="62">
                  <c:v>2</c:v>
                </c:pt>
                <c:pt idx="63">
                  <c:v>2</c:v>
                </c:pt>
                <c:pt idx="64">
                  <c:v>2</c:v>
                </c:pt>
                <c:pt idx="65">
                  <c:v>2</c:v>
                </c:pt>
                <c:pt idx="66">
                  <c:v>2</c:v>
                </c:pt>
                <c:pt idx="67">
                  <c:v>2</c:v>
                </c:pt>
                <c:pt idx="68">
                  <c:v>2</c:v>
                </c:pt>
                <c:pt idx="69">
                  <c:v>2</c:v>
                </c:pt>
                <c:pt idx="70">
                  <c:v>2</c:v>
                </c:pt>
                <c:pt idx="71">
                  <c:v>2</c:v>
                </c:pt>
                <c:pt idx="72">
                  <c:v>2</c:v>
                </c:pt>
                <c:pt idx="73">
                  <c:v>2</c:v>
                </c:pt>
                <c:pt idx="74">
                  <c:v>2</c:v>
                </c:pt>
                <c:pt idx="75">
                  <c:v>2</c:v>
                </c:pt>
                <c:pt idx="76">
                  <c:v>2</c:v>
                </c:pt>
                <c:pt idx="77">
                  <c:v>2</c:v>
                </c:pt>
                <c:pt idx="78">
                  <c:v>2</c:v>
                </c:pt>
                <c:pt idx="79">
                  <c:v>2</c:v>
                </c:pt>
                <c:pt idx="80">
                  <c:v>2</c:v>
                </c:pt>
                <c:pt idx="81">
                  <c:v>2</c:v>
                </c:pt>
                <c:pt idx="82">
                  <c:v>2</c:v>
                </c:pt>
                <c:pt idx="83">
                  <c:v>2</c:v>
                </c:pt>
                <c:pt idx="84">
                  <c:v>2</c:v>
                </c:pt>
                <c:pt idx="85">
                  <c:v>2</c:v>
                </c:pt>
                <c:pt idx="86">
                  <c:v>2</c:v>
                </c:pt>
                <c:pt idx="87">
                  <c:v>2</c:v>
                </c:pt>
                <c:pt idx="88">
                  <c:v>3</c:v>
                </c:pt>
                <c:pt idx="89">
                  <c:v>2</c:v>
                </c:pt>
                <c:pt idx="90">
                  <c:v>2</c:v>
                </c:pt>
                <c:pt idx="91">
                  <c:v>2</c:v>
                </c:pt>
                <c:pt idx="92">
                  <c:v>2</c:v>
                </c:pt>
                <c:pt idx="93">
                  <c:v>3</c:v>
                </c:pt>
                <c:pt idx="94">
                  <c:v>2</c:v>
                </c:pt>
                <c:pt idx="95">
                  <c:v>3</c:v>
                </c:pt>
                <c:pt idx="96">
                  <c:v>3</c:v>
                </c:pt>
                <c:pt idx="97">
                  <c:v>2</c:v>
                </c:pt>
                <c:pt idx="98">
                  <c:v>3</c:v>
                </c:pt>
                <c:pt idx="99">
                  <c:v>3</c:v>
                </c:pt>
                <c:pt idx="100">
                  <c:v>2</c:v>
                </c:pt>
                <c:pt idx="101">
                  <c:v>2</c:v>
                </c:pt>
                <c:pt idx="102">
                  <c:v>2</c:v>
                </c:pt>
                <c:pt idx="103">
                  <c:v>2</c:v>
                </c:pt>
                <c:pt idx="104">
                  <c:v>3</c:v>
                </c:pt>
                <c:pt idx="105">
                  <c:v>4</c:v>
                </c:pt>
                <c:pt idx="106">
                  <c:v>2</c:v>
                </c:pt>
                <c:pt idx="107">
                  <c:v>2</c:v>
                </c:pt>
                <c:pt idx="108">
                  <c:v>2</c:v>
                </c:pt>
                <c:pt idx="109">
                  <c:v>3</c:v>
                </c:pt>
                <c:pt idx="110">
                  <c:v>3</c:v>
                </c:pt>
                <c:pt idx="111">
                  <c:v>2</c:v>
                </c:pt>
                <c:pt idx="112">
                  <c:v>3</c:v>
                </c:pt>
                <c:pt idx="113">
                  <c:v>3</c:v>
                </c:pt>
                <c:pt idx="114">
                  <c:v>2</c:v>
                </c:pt>
                <c:pt idx="115">
                  <c:v>2</c:v>
                </c:pt>
                <c:pt idx="116">
                  <c:v>2</c:v>
                </c:pt>
                <c:pt idx="117">
                  <c:v>2</c:v>
                </c:pt>
                <c:pt idx="118">
                  <c:v>2</c:v>
                </c:pt>
                <c:pt idx="119">
                  <c:v>3</c:v>
                </c:pt>
                <c:pt idx="120">
                  <c:v>2</c:v>
                </c:pt>
                <c:pt idx="121">
                  <c:v>4</c:v>
                </c:pt>
                <c:pt idx="122">
                  <c:v>2</c:v>
                </c:pt>
                <c:pt idx="123">
                  <c:v>2</c:v>
                </c:pt>
                <c:pt idx="124">
                  <c:v>2</c:v>
                </c:pt>
                <c:pt idx="125">
                  <c:v>2</c:v>
                </c:pt>
                <c:pt idx="126">
                  <c:v>2</c:v>
                </c:pt>
                <c:pt idx="127">
                  <c:v>3</c:v>
                </c:pt>
                <c:pt idx="128">
                  <c:v>2</c:v>
                </c:pt>
                <c:pt idx="129">
                  <c:v>2</c:v>
                </c:pt>
                <c:pt idx="130">
                  <c:v>2</c:v>
                </c:pt>
                <c:pt idx="131">
                  <c:v>2</c:v>
                </c:pt>
                <c:pt idx="132">
                  <c:v>4</c:v>
                </c:pt>
                <c:pt idx="133">
                  <c:v>4</c:v>
                </c:pt>
                <c:pt idx="134">
                  <c:v>4</c:v>
                </c:pt>
                <c:pt idx="135">
                  <c:v>3</c:v>
                </c:pt>
                <c:pt idx="136">
                  <c:v>3</c:v>
                </c:pt>
                <c:pt idx="137">
                  <c:v>3</c:v>
                </c:pt>
                <c:pt idx="138">
                  <c:v>2</c:v>
                </c:pt>
                <c:pt idx="139">
                  <c:v>2</c:v>
                </c:pt>
                <c:pt idx="140">
                  <c:v>2</c:v>
                </c:pt>
                <c:pt idx="141">
                  <c:v>2</c:v>
                </c:pt>
                <c:pt idx="142">
                  <c:v>2</c:v>
                </c:pt>
                <c:pt idx="143">
                  <c:v>4</c:v>
                </c:pt>
                <c:pt idx="144">
                  <c:v>2</c:v>
                </c:pt>
                <c:pt idx="145">
                  <c:v>2</c:v>
                </c:pt>
                <c:pt idx="146">
                  <c:v>3</c:v>
                </c:pt>
                <c:pt idx="147">
                  <c:v>2</c:v>
                </c:pt>
                <c:pt idx="148">
                  <c:v>2</c:v>
                </c:pt>
                <c:pt idx="149">
                  <c:v>2</c:v>
                </c:pt>
                <c:pt idx="150">
                  <c:v>2</c:v>
                </c:pt>
                <c:pt idx="151">
                  <c:v>4</c:v>
                </c:pt>
                <c:pt idx="152">
                  <c:v>2</c:v>
                </c:pt>
                <c:pt idx="153">
                  <c:v>4</c:v>
                </c:pt>
                <c:pt idx="154">
                  <c:v>3</c:v>
                </c:pt>
                <c:pt idx="155">
                  <c:v>4</c:v>
                </c:pt>
                <c:pt idx="156">
                  <c:v>5</c:v>
                </c:pt>
                <c:pt idx="157">
                  <c:v>2</c:v>
                </c:pt>
                <c:pt idx="158">
                  <c:v>3</c:v>
                </c:pt>
                <c:pt idx="159">
                  <c:v>2</c:v>
                </c:pt>
                <c:pt idx="160">
                  <c:v>3</c:v>
                </c:pt>
                <c:pt idx="161">
                  <c:v>2</c:v>
                </c:pt>
                <c:pt idx="162">
                  <c:v>2</c:v>
                </c:pt>
                <c:pt idx="163">
                  <c:v>4</c:v>
                </c:pt>
                <c:pt idx="164">
                  <c:v>2</c:v>
                </c:pt>
                <c:pt idx="165">
                  <c:v>2</c:v>
                </c:pt>
                <c:pt idx="166">
                  <c:v>2</c:v>
                </c:pt>
                <c:pt idx="167">
                  <c:v>2</c:v>
                </c:pt>
                <c:pt idx="168">
                  <c:v>2</c:v>
                </c:pt>
                <c:pt idx="169">
                  <c:v>2</c:v>
                </c:pt>
                <c:pt idx="170">
                  <c:v>2</c:v>
                </c:pt>
                <c:pt idx="171">
                  <c:v>2</c:v>
                </c:pt>
                <c:pt idx="172">
                  <c:v>2</c:v>
                </c:pt>
                <c:pt idx="173">
                  <c:v>3</c:v>
                </c:pt>
                <c:pt idx="174">
                  <c:v>3</c:v>
                </c:pt>
                <c:pt idx="175">
                  <c:v>4</c:v>
                </c:pt>
                <c:pt idx="176">
                  <c:v>2</c:v>
                </c:pt>
                <c:pt idx="177">
                  <c:v>2</c:v>
                </c:pt>
                <c:pt idx="178">
                  <c:v>2</c:v>
                </c:pt>
                <c:pt idx="179">
                  <c:v>4</c:v>
                </c:pt>
                <c:pt idx="180">
                  <c:v>3</c:v>
                </c:pt>
                <c:pt idx="181">
                  <c:v>4</c:v>
                </c:pt>
                <c:pt idx="182">
                  <c:v>2</c:v>
                </c:pt>
                <c:pt idx="183">
                  <c:v>3</c:v>
                </c:pt>
                <c:pt idx="184">
                  <c:v>4</c:v>
                </c:pt>
                <c:pt idx="185">
                  <c:v>4</c:v>
                </c:pt>
                <c:pt idx="186">
                  <c:v>2</c:v>
                </c:pt>
                <c:pt idx="187">
                  <c:v>4</c:v>
                </c:pt>
                <c:pt idx="188">
                  <c:v>2</c:v>
                </c:pt>
                <c:pt idx="189">
                  <c:v>2</c:v>
                </c:pt>
                <c:pt idx="190">
                  <c:v>4</c:v>
                </c:pt>
                <c:pt idx="191">
                  <c:v>4</c:v>
                </c:pt>
                <c:pt idx="192">
                  <c:v>3</c:v>
                </c:pt>
                <c:pt idx="193">
                  <c:v>4</c:v>
                </c:pt>
                <c:pt idx="194">
                  <c:v>2</c:v>
                </c:pt>
                <c:pt idx="195">
                  <c:v>3</c:v>
                </c:pt>
                <c:pt idx="196">
                  <c:v>2</c:v>
                </c:pt>
                <c:pt idx="197">
                  <c:v>4</c:v>
                </c:pt>
                <c:pt idx="198">
                  <c:v>6</c:v>
                </c:pt>
                <c:pt idx="199">
                  <c:v>2</c:v>
                </c:pt>
                <c:pt idx="200">
                  <c:v>4</c:v>
                </c:pt>
                <c:pt idx="201">
                  <c:v>2</c:v>
                </c:pt>
                <c:pt idx="202">
                  <c:v>5</c:v>
                </c:pt>
                <c:pt idx="203">
                  <c:v>3</c:v>
                </c:pt>
                <c:pt idx="204">
                  <c:v>2</c:v>
                </c:pt>
                <c:pt idx="205">
                  <c:v>3</c:v>
                </c:pt>
                <c:pt idx="206">
                  <c:v>2</c:v>
                </c:pt>
                <c:pt idx="207">
                  <c:v>3</c:v>
                </c:pt>
                <c:pt idx="208">
                  <c:v>6</c:v>
                </c:pt>
                <c:pt idx="209">
                  <c:v>5</c:v>
                </c:pt>
                <c:pt idx="210">
                  <c:v>4</c:v>
                </c:pt>
                <c:pt idx="211">
                  <c:v>3</c:v>
                </c:pt>
                <c:pt idx="212">
                  <c:v>4</c:v>
                </c:pt>
                <c:pt idx="213">
                  <c:v>4</c:v>
                </c:pt>
                <c:pt idx="214">
                  <c:v>5</c:v>
                </c:pt>
                <c:pt idx="215">
                  <c:v>3</c:v>
                </c:pt>
                <c:pt idx="216">
                  <c:v>4</c:v>
                </c:pt>
                <c:pt idx="217">
                  <c:v>2</c:v>
                </c:pt>
                <c:pt idx="218">
                  <c:v>4</c:v>
                </c:pt>
                <c:pt idx="219">
                  <c:v>2</c:v>
                </c:pt>
                <c:pt idx="220">
                  <c:v>2</c:v>
                </c:pt>
                <c:pt idx="221">
                  <c:v>2</c:v>
                </c:pt>
                <c:pt idx="222">
                  <c:v>6</c:v>
                </c:pt>
                <c:pt idx="223">
                  <c:v>2</c:v>
                </c:pt>
                <c:pt idx="224">
                  <c:v>4</c:v>
                </c:pt>
                <c:pt idx="225">
                  <c:v>4</c:v>
                </c:pt>
                <c:pt idx="226">
                  <c:v>4</c:v>
                </c:pt>
                <c:pt idx="227">
                  <c:v>4</c:v>
                </c:pt>
                <c:pt idx="228">
                  <c:v>3</c:v>
                </c:pt>
                <c:pt idx="229">
                  <c:v>4</c:v>
                </c:pt>
                <c:pt idx="230">
                  <c:v>3</c:v>
                </c:pt>
                <c:pt idx="231">
                  <c:v>4</c:v>
                </c:pt>
                <c:pt idx="232">
                  <c:v>4</c:v>
                </c:pt>
                <c:pt idx="233">
                  <c:v>4</c:v>
                </c:pt>
                <c:pt idx="234">
                  <c:v>2</c:v>
                </c:pt>
                <c:pt idx="235">
                  <c:v>5</c:v>
                </c:pt>
                <c:pt idx="236">
                  <c:v>4</c:v>
                </c:pt>
                <c:pt idx="237">
                  <c:v>3</c:v>
                </c:pt>
                <c:pt idx="238">
                  <c:v>3</c:v>
                </c:pt>
                <c:pt idx="239">
                  <c:v>6</c:v>
                </c:pt>
                <c:pt idx="240">
                  <c:v>4</c:v>
                </c:pt>
                <c:pt idx="241">
                  <c:v>4</c:v>
                </c:pt>
                <c:pt idx="242">
                  <c:v>3</c:v>
                </c:pt>
              </c:numCache>
            </c:numRef>
          </c:xVal>
          <c:yVal>
            <c:numRef>
              <c:f>'Model 3'!$O$4:$O$246</c:f>
              <c:numCache>
                <c:formatCode>0.00</c:formatCode>
                <c:ptCount val="243"/>
                <c:pt idx="0">
                  <c:v>-1.7264916373525201</c:v>
                </c:pt>
                <c:pt idx="1">
                  <c:v>-0.59039632965188393</c:v>
                </c:pt>
                <c:pt idx="2">
                  <c:v>0.24214260491435446</c:v>
                </c:pt>
                <c:pt idx="3">
                  <c:v>-2.3868707219409036E-2</c:v>
                </c:pt>
                <c:pt idx="4">
                  <c:v>-0.19626340734111958</c:v>
                </c:pt>
                <c:pt idx="5">
                  <c:v>0.87193513497083242</c:v>
                </c:pt>
                <c:pt idx="6">
                  <c:v>7.3933025265819463E-2</c:v>
                </c:pt>
                <c:pt idx="7">
                  <c:v>-0.86819261517346735</c:v>
                </c:pt>
                <c:pt idx="8">
                  <c:v>-0.55808017813340172</c:v>
                </c:pt>
                <c:pt idx="9">
                  <c:v>0.7364690137140939</c:v>
                </c:pt>
                <c:pt idx="10">
                  <c:v>-0.35769692770050154</c:v>
                </c:pt>
                <c:pt idx="11">
                  <c:v>0.18627552722511886</c:v>
                </c:pt>
                <c:pt idx="12">
                  <c:v>-0.98395976621820247</c:v>
                </c:pt>
                <c:pt idx="13">
                  <c:v>-0.19034388012986092</c:v>
                </c:pt>
                <c:pt idx="14">
                  <c:v>0.48745549491898155</c:v>
                </c:pt>
                <c:pt idx="15">
                  <c:v>0.78441322693343984</c:v>
                </c:pt>
                <c:pt idx="16">
                  <c:v>-0.6137446503283428</c:v>
                </c:pt>
                <c:pt idx="17">
                  <c:v>0.89780485691504408</c:v>
                </c:pt>
                <c:pt idx="18">
                  <c:v>0.58930675787407738</c:v>
                </c:pt>
                <c:pt idx="19">
                  <c:v>0.22303754806680631</c:v>
                </c:pt>
                <c:pt idx="20">
                  <c:v>1.3868940666117968</c:v>
                </c:pt>
                <c:pt idx="21">
                  <c:v>-0.20117377943789139</c:v>
                </c:pt>
                <c:pt idx="22">
                  <c:v>-0.29439552116604473</c:v>
                </c:pt>
                <c:pt idx="23">
                  <c:v>2.5046847324686254</c:v>
                </c:pt>
                <c:pt idx="24">
                  <c:v>0.30749612618779087</c:v>
                </c:pt>
                <c:pt idx="25">
                  <c:v>-0.6948997451299137</c:v>
                </c:pt>
                <c:pt idx="26">
                  <c:v>-0.26349507605702982</c:v>
                </c:pt>
                <c:pt idx="27">
                  <c:v>-0.19928949737896495</c:v>
                </c:pt>
                <c:pt idx="28">
                  <c:v>1.2499865851366683</c:v>
                </c:pt>
                <c:pt idx="29">
                  <c:v>0.10925500049440551</c:v>
                </c:pt>
                <c:pt idx="30">
                  <c:v>-0.45281079583613337</c:v>
                </c:pt>
                <c:pt idx="31">
                  <c:v>-0.58588652819778897</c:v>
                </c:pt>
                <c:pt idx="32">
                  <c:v>0.54264265657134692</c:v>
                </c:pt>
                <c:pt idx="33">
                  <c:v>-0.89112177518815106</c:v>
                </c:pt>
                <c:pt idx="34">
                  <c:v>0.59011286222198667</c:v>
                </c:pt>
                <c:pt idx="35">
                  <c:v>0.15106545499003721</c:v>
                </c:pt>
                <c:pt idx="36">
                  <c:v>-0.71717978801730542</c:v>
                </c:pt>
                <c:pt idx="37">
                  <c:v>0.25998731106037987</c:v>
                </c:pt>
                <c:pt idx="38">
                  <c:v>-0.63189931339053507</c:v>
                </c:pt>
                <c:pt idx="39">
                  <c:v>0.87029748106525506</c:v>
                </c:pt>
                <c:pt idx="40">
                  <c:v>-0.4516863964833675</c:v>
                </c:pt>
                <c:pt idx="41">
                  <c:v>-0.20657650225239887</c:v>
                </c:pt>
                <c:pt idx="42">
                  <c:v>0.64578178737523384</c:v>
                </c:pt>
                <c:pt idx="43">
                  <c:v>-0.69198914620041507</c:v>
                </c:pt>
                <c:pt idx="44">
                  <c:v>1.279449095198899</c:v>
                </c:pt>
                <c:pt idx="45">
                  <c:v>0.17505492377290377</c:v>
                </c:pt>
                <c:pt idx="46">
                  <c:v>1.8030402473147009</c:v>
                </c:pt>
                <c:pt idx="47">
                  <c:v>1.4906091579104714</c:v>
                </c:pt>
                <c:pt idx="48">
                  <c:v>-1.9197839586630181</c:v>
                </c:pt>
                <c:pt idx="49">
                  <c:v>0.19865991593395727</c:v>
                </c:pt>
                <c:pt idx="50">
                  <c:v>0.21796974347713327</c:v>
                </c:pt>
                <c:pt idx="51">
                  <c:v>0.49612215256371295</c:v>
                </c:pt>
                <c:pt idx="52">
                  <c:v>0.42876451311501551</c:v>
                </c:pt>
                <c:pt idx="53">
                  <c:v>-0.47653833804791068</c:v>
                </c:pt>
                <c:pt idx="54">
                  <c:v>0.4764417434368946</c:v>
                </c:pt>
                <c:pt idx="55">
                  <c:v>0.5717509613998466</c:v>
                </c:pt>
                <c:pt idx="56">
                  <c:v>-1.8589349859498752</c:v>
                </c:pt>
                <c:pt idx="57">
                  <c:v>-2.0290239875404801</c:v>
                </c:pt>
                <c:pt idx="58">
                  <c:v>-0.21913241705169662</c:v>
                </c:pt>
                <c:pt idx="59">
                  <c:v>0.81906800996733331</c:v>
                </c:pt>
                <c:pt idx="60">
                  <c:v>0.37636686671816832</c:v>
                </c:pt>
                <c:pt idx="61">
                  <c:v>-0.22179173646732631</c:v>
                </c:pt>
                <c:pt idx="62">
                  <c:v>2.163997605003054E-2</c:v>
                </c:pt>
                <c:pt idx="63">
                  <c:v>0.76302679571402177</c:v>
                </c:pt>
                <c:pt idx="64">
                  <c:v>-0.19803734788189908</c:v>
                </c:pt>
                <c:pt idx="65">
                  <c:v>7.6856930194007855E-2</c:v>
                </c:pt>
                <c:pt idx="66">
                  <c:v>-0.11860109984411027</c:v>
                </c:pt>
                <c:pt idx="67">
                  <c:v>-6.5923789445083925E-2</c:v>
                </c:pt>
                <c:pt idx="68">
                  <c:v>-0.90121606095633755</c:v>
                </c:pt>
                <c:pt idx="69">
                  <c:v>-0.24509569884038296</c:v>
                </c:pt>
                <c:pt idx="70">
                  <c:v>-0.16602811838734133</c:v>
                </c:pt>
                <c:pt idx="71">
                  <c:v>0.17676851545019012</c:v>
                </c:pt>
                <c:pt idx="72">
                  <c:v>-0.3482648476372181</c:v>
                </c:pt>
                <c:pt idx="73">
                  <c:v>1.6609187028206391</c:v>
                </c:pt>
                <c:pt idx="74">
                  <c:v>-0.22619875377606213</c:v>
                </c:pt>
                <c:pt idx="75">
                  <c:v>-0.74345396573457867</c:v>
                </c:pt>
                <c:pt idx="76">
                  <c:v>0.47014219240495514</c:v>
                </c:pt>
                <c:pt idx="77">
                  <c:v>4.765806521539373E-2</c:v>
                </c:pt>
                <c:pt idx="78">
                  <c:v>-0.18093726571172253</c:v>
                </c:pt>
                <c:pt idx="79">
                  <c:v>4.5539962772127573E-2</c:v>
                </c:pt>
                <c:pt idx="80">
                  <c:v>0.21578515598022552</c:v>
                </c:pt>
                <c:pt idx="81">
                  <c:v>0.79502454301798187</c:v>
                </c:pt>
                <c:pt idx="82">
                  <c:v>-1.0950379833263302E-2</c:v>
                </c:pt>
                <c:pt idx="83">
                  <c:v>0.96566477113083415</c:v>
                </c:pt>
                <c:pt idx="84">
                  <c:v>-0.51076987830395293</c:v>
                </c:pt>
                <c:pt idx="85">
                  <c:v>0.46294118409714091</c:v>
                </c:pt>
                <c:pt idx="86">
                  <c:v>-0.26223097080352176</c:v>
                </c:pt>
                <c:pt idx="87">
                  <c:v>1.2420641938143553</c:v>
                </c:pt>
                <c:pt idx="88">
                  <c:v>2.4849437954320601</c:v>
                </c:pt>
                <c:pt idx="89">
                  <c:v>-2.986531588098007E-2</c:v>
                </c:pt>
                <c:pt idx="90">
                  <c:v>-0.77332210061288231</c:v>
                </c:pt>
                <c:pt idx="91">
                  <c:v>0.25527117040846514</c:v>
                </c:pt>
                <c:pt idx="92">
                  <c:v>-0.61518294905713855</c:v>
                </c:pt>
                <c:pt idx="93">
                  <c:v>1.6867979823735206</c:v>
                </c:pt>
                <c:pt idx="94">
                  <c:v>-5.3570541801931881E-2</c:v>
                </c:pt>
                <c:pt idx="95">
                  <c:v>-0.45300575772065166</c:v>
                </c:pt>
                <c:pt idx="96">
                  <c:v>0.38624764639583864</c:v>
                </c:pt>
                <c:pt idx="97">
                  <c:v>-0.67384783177990037</c:v>
                </c:pt>
                <c:pt idx="98">
                  <c:v>-2.173915020494066E-2</c:v>
                </c:pt>
                <c:pt idx="99">
                  <c:v>-0.79769654409007007</c:v>
                </c:pt>
                <c:pt idx="100">
                  <c:v>0.35606522653526396</c:v>
                </c:pt>
                <c:pt idx="101">
                  <c:v>0.47555275289908217</c:v>
                </c:pt>
                <c:pt idx="102">
                  <c:v>-2.8110391049385948</c:v>
                </c:pt>
                <c:pt idx="103">
                  <c:v>0.41095981314309071</c:v>
                </c:pt>
                <c:pt idx="104">
                  <c:v>1.0693416403162539</c:v>
                </c:pt>
                <c:pt idx="105">
                  <c:v>-0.72814268786585745</c:v>
                </c:pt>
                <c:pt idx="106">
                  <c:v>1.207482872989325</c:v>
                </c:pt>
                <c:pt idx="107">
                  <c:v>0.99182062098863621</c:v>
                </c:pt>
                <c:pt idx="108">
                  <c:v>1.0366796766456483</c:v>
                </c:pt>
                <c:pt idx="109">
                  <c:v>1.6967057588476653</c:v>
                </c:pt>
                <c:pt idx="110">
                  <c:v>0.67702034369711495</c:v>
                </c:pt>
                <c:pt idx="111">
                  <c:v>-0.54384738417105583</c:v>
                </c:pt>
                <c:pt idx="112">
                  <c:v>-0.86866206015593406</c:v>
                </c:pt>
                <c:pt idx="113">
                  <c:v>-0.80936209875334697</c:v>
                </c:pt>
                <c:pt idx="114">
                  <c:v>0.26407623192364804</c:v>
                </c:pt>
                <c:pt idx="115">
                  <c:v>0.73329397268133167</c:v>
                </c:pt>
                <c:pt idx="116">
                  <c:v>0.79382648046168036</c:v>
                </c:pt>
                <c:pt idx="117">
                  <c:v>-0.57180396579319481</c:v>
                </c:pt>
                <c:pt idx="118">
                  <c:v>-0.4398715099798951</c:v>
                </c:pt>
                <c:pt idx="119">
                  <c:v>-0.77204415297756057</c:v>
                </c:pt>
                <c:pt idx="120">
                  <c:v>0.17429178717972471</c:v>
                </c:pt>
                <c:pt idx="121">
                  <c:v>-0.65334727893766664</c:v>
                </c:pt>
                <c:pt idx="122">
                  <c:v>0.12163246776409498</c:v>
                </c:pt>
                <c:pt idx="123">
                  <c:v>-0.53793727924462598</c:v>
                </c:pt>
                <c:pt idx="124">
                  <c:v>0.2754074915878939</c:v>
                </c:pt>
                <c:pt idx="125">
                  <c:v>-0.38430638191503785</c:v>
                </c:pt>
                <c:pt idx="126">
                  <c:v>-0.35639691221811742</c:v>
                </c:pt>
                <c:pt idx="127">
                  <c:v>-0.43720924444630205</c:v>
                </c:pt>
                <c:pt idx="128">
                  <c:v>-0.14073054290347065</c:v>
                </c:pt>
                <c:pt idx="129">
                  <c:v>-1.1826924679766622</c:v>
                </c:pt>
                <c:pt idx="130">
                  <c:v>-1.3334717811010153</c:v>
                </c:pt>
                <c:pt idx="131">
                  <c:v>-0.15012406415053148</c:v>
                </c:pt>
                <c:pt idx="132">
                  <c:v>-0.62090234948818601</c:v>
                </c:pt>
                <c:pt idx="133">
                  <c:v>-0.22382011531037893</c:v>
                </c:pt>
                <c:pt idx="134">
                  <c:v>0.45966007282433807</c:v>
                </c:pt>
                <c:pt idx="135">
                  <c:v>-0.61974523289457695</c:v>
                </c:pt>
                <c:pt idx="136">
                  <c:v>-4.1589575827046144E-2</c:v>
                </c:pt>
                <c:pt idx="137">
                  <c:v>-0.40227385604794286</c:v>
                </c:pt>
                <c:pt idx="138">
                  <c:v>-0.45941015188367906</c:v>
                </c:pt>
                <c:pt idx="139">
                  <c:v>0.44120191290982902</c:v>
                </c:pt>
                <c:pt idx="140">
                  <c:v>0.78425184805326698</c:v>
                </c:pt>
                <c:pt idx="141">
                  <c:v>1.725096279548902</c:v>
                </c:pt>
                <c:pt idx="142">
                  <c:v>-0.44936730026344485</c:v>
                </c:pt>
                <c:pt idx="143">
                  <c:v>0.67534853185655042</c:v>
                </c:pt>
                <c:pt idx="144">
                  <c:v>-0.3175513845567508</c:v>
                </c:pt>
                <c:pt idx="145">
                  <c:v>-0.35463803791150261</c:v>
                </c:pt>
                <c:pt idx="146">
                  <c:v>-1.6423095194067499</c:v>
                </c:pt>
                <c:pt idx="147">
                  <c:v>-0.55699632753913519</c:v>
                </c:pt>
                <c:pt idx="148">
                  <c:v>-0.22536607270982678</c:v>
                </c:pt>
                <c:pt idx="149">
                  <c:v>0.25896725611253846</c:v>
                </c:pt>
                <c:pt idx="150">
                  <c:v>7.3507191451485987E-2</c:v>
                </c:pt>
                <c:pt idx="151">
                  <c:v>-0.3377380380229531</c:v>
                </c:pt>
                <c:pt idx="152">
                  <c:v>-0.16378251266984334</c:v>
                </c:pt>
                <c:pt idx="153">
                  <c:v>-1.7681940882324496</c:v>
                </c:pt>
                <c:pt idx="154">
                  <c:v>-1.3168666381131073</c:v>
                </c:pt>
                <c:pt idx="155">
                  <c:v>0.66099755344402755</c:v>
                </c:pt>
                <c:pt idx="156">
                  <c:v>-1.3505737559013546</c:v>
                </c:pt>
                <c:pt idx="157">
                  <c:v>-9.4975594485247061E-2</c:v>
                </c:pt>
                <c:pt idx="158">
                  <c:v>0.21342024976664975</c:v>
                </c:pt>
                <c:pt idx="159">
                  <c:v>-1.0071691409600856</c:v>
                </c:pt>
                <c:pt idx="160">
                  <c:v>1.9786816132402851E-2</c:v>
                </c:pt>
                <c:pt idx="161">
                  <c:v>0.20663934723982713</c:v>
                </c:pt>
                <c:pt idx="162">
                  <c:v>-0.83893406595632047</c:v>
                </c:pt>
                <c:pt idx="163">
                  <c:v>-0.40194361670101841</c:v>
                </c:pt>
                <c:pt idx="164">
                  <c:v>0.29765810474564658</c:v>
                </c:pt>
                <c:pt idx="165">
                  <c:v>-0.1092714850268357</c:v>
                </c:pt>
                <c:pt idx="166">
                  <c:v>-0.81816239877830466</c:v>
                </c:pt>
                <c:pt idx="167">
                  <c:v>5.5758936274979298E-2</c:v>
                </c:pt>
                <c:pt idx="168">
                  <c:v>-0.34205195779585895</c:v>
                </c:pt>
                <c:pt idx="169">
                  <c:v>4.4171243458372089E-2</c:v>
                </c:pt>
                <c:pt idx="170">
                  <c:v>4.1085794195504741</c:v>
                </c:pt>
                <c:pt idx="171">
                  <c:v>0.74936832624424632</c:v>
                </c:pt>
                <c:pt idx="172">
                  <c:v>3.4506995033981824</c:v>
                </c:pt>
                <c:pt idx="173">
                  <c:v>-0.84203172524947822</c:v>
                </c:pt>
                <c:pt idx="174">
                  <c:v>1.3971004034730559</c:v>
                </c:pt>
                <c:pt idx="175">
                  <c:v>-1.011172692325903</c:v>
                </c:pt>
                <c:pt idx="176">
                  <c:v>-0.70392896297625285</c:v>
                </c:pt>
                <c:pt idx="177">
                  <c:v>-0.38195686989948374</c:v>
                </c:pt>
                <c:pt idx="178">
                  <c:v>2.0445200567213782</c:v>
                </c:pt>
                <c:pt idx="179">
                  <c:v>-0.73451923808039332</c:v>
                </c:pt>
                <c:pt idx="180">
                  <c:v>-0.95858764574585065</c:v>
                </c:pt>
                <c:pt idx="181">
                  <c:v>2.4324264075992241</c:v>
                </c:pt>
                <c:pt idx="182">
                  <c:v>-1.9727913060926525</c:v>
                </c:pt>
                <c:pt idx="183">
                  <c:v>2.945353594289724</c:v>
                </c:pt>
                <c:pt idx="184">
                  <c:v>-1.8434854524541384</c:v>
                </c:pt>
                <c:pt idx="185">
                  <c:v>1.4201769865879288</c:v>
                </c:pt>
                <c:pt idx="186">
                  <c:v>0.30148440689547495</c:v>
                </c:pt>
                <c:pt idx="187">
                  <c:v>-2.4190579812728821</c:v>
                </c:pt>
                <c:pt idx="188">
                  <c:v>0.56113932066706296</c:v>
                </c:pt>
                <c:pt idx="189">
                  <c:v>0.62805299624110544</c:v>
                </c:pt>
                <c:pt idx="190">
                  <c:v>-0.9962050319589828</c:v>
                </c:pt>
                <c:pt idx="191">
                  <c:v>1.3365572472189653</c:v>
                </c:pt>
                <c:pt idx="192">
                  <c:v>-1.0739945618176994</c:v>
                </c:pt>
                <c:pt idx="193">
                  <c:v>-0.39031176818868785</c:v>
                </c:pt>
                <c:pt idx="194">
                  <c:v>1.4858262663026771</c:v>
                </c:pt>
                <c:pt idx="195">
                  <c:v>-0.30575374231967212</c:v>
                </c:pt>
                <c:pt idx="196">
                  <c:v>7.5006870642571277E-2</c:v>
                </c:pt>
                <c:pt idx="197">
                  <c:v>-0.40560803048379235</c:v>
                </c:pt>
                <c:pt idx="198">
                  <c:v>-0.21044276631393899</c:v>
                </c:pt>
                <c:pt idx="199">
                  <c:v>-0.22430442995958666</c:v>
                </c:pt>
                <c:pt idx="200">
                  <c:v>1.1086217289442142</c:v>
                </c:pt>
                <c:pt idx="201">
                  <c:v>-0.1758935744664436</c:v>
                </c:pt>
                <c:pt idx="202">
                  <c:v>-3.1470659704265991E-2</c:v>
                </c:pt>
                <c:pt idx="203">
                  <c:v>0.76068738186545826</c:v>
                </c:pt>
                <c:pt idx="204">
                  <c:v>0.51582993834435209</c:v>
                </c:pt>
                <c:pt idx="205">
                  <c:v>-0.19456893988666568</c:v>
                </c:pt>
                <c:pt idx="206">
                  <c:v>-1.9269173633737093</c:v>
                </c:pt>
                <c:pt idx="207">
                  <c:v>-1.1794246084858027</c:v>
                </c:pt>
                <c:pt idx="208">
                  <c:v>7.3056710246196754E-2</c:v>
                </c:pt>
                <c:pt idx="209">
                  <c:v>-1.932206231082088</c:v>
                </c:pt>
                <c:pt idx="210">
                  <c:v>1.4454350340179967</c:v>
                </c:pt>
                <c:pt idx="211">
                  <c:v>3.0834028118486803</c:v>
                </c:pt>
                <c:pt idx="212">
                  <c:v>0.29490252623764768</c:v>
                </c:pt>
                <c:pt idx="213">
                  <c:v>2.7119549892925745</c:v>
                </c:pt>
                <c:pt idx="214">
                  <c:v>-1.070162085363993</c:v>
                </c:pt>
                <c:pt idx="215">
                  <c:v>-1.1040440992642138</c:v>
                </c:pt>
                <c:pt idx="216">
                  <c:v>-0.51217940607717161</c:v>
                </c:pt>
                <c:pt idx="217">
                  <c:v>-0.20866252679694819</c:v>
                </c:pt>
                <c:pt idx="218">
                  <c:v>-1.0601423530828136</c:v>
                </c:pt>
                <c:pt idx="219">
                  <c:v>-5.3990835229663858E-2</c:v>
                </c:pt>
                <c:pt idx="220">
                  <c:v>1.0727474839157249</c:v>
                </c:pt>
                <c:pt idx="221">
                  <c:v>0.18012265666290839</c:v>
                </c:pt>
                <c:pt idx="222">
                  <c:v>9.1694234247092332E-2</c:v>
                </c:pt>
                <c:pt idx="223">
                  <c:v>-0.79295999572137355</c:v>
                </c:pt>
                <c:pt idx="224">
                  <c:v>-0.17634942672028453</c:v>
                </c:pt>
                <c:pt idx="225">
                  <c:v>-9.2834020499043213E-2</c:v>
                </c:pt>
                <c:pt idx="226">
                  <c:v>-0.28416846235063797</c:v>
                </c:pt>
                <c:pt idx="227">
                  <c:v>0.46500272112094931</c:v>
                </c:pt>
                <c:pt idx="228">
                  <c:v>-0.16071419626364492</c:v>
                </c:pt>
                <c:pt idx="229">
                  <c:v>-1.5370554249308817</c:v>
                </c:pt>
                <c:pt idx="230">
                  <c:v>0.42460871833526515</c:v>
                </c:pt>
                <c:pt idx="231">
                  <c:v>1.2926840687567864</c:v>
                </c:pt>
                <c:pt idx="232">
                  <c:v>-0.54800315758207385</c:v>
                </c:pt>
                <c:pt idx="233">
                  <c:v>0.61580591746462598</c:v>
                </c:pt>
                <c:pt idx="234">
                  <c:v>-0.70190917953112453</c:v>
                </c:pt>
                <c:pt idx="235">
                  <c:v>-1.1075435744078277</c:v>
                </c:pt>
                <c:pt idx="236">
                  <c:v>-2.8476595400802731</c:v>
                </c:pt>
                <c:pt idx="237">
                  <c:v>7.5449903684738473E-2</c:v>
                </c:pt>
                <c:pt idx="238">
                  <c:v>2.0017982108282943</c:v>
                </c:pt>
                <c:pt idx="239">
                  <c:v>-1.5184792376033669</c:v>
                </c:pt>
                <c:pt idx="240">
                  <c:v>-1.0583526586550613</c:v>
                </c:pt>
                <c:pt idx="241">
                  <c:v>-0.93366393652378177</c:v>
                </c:pt>
                <c:pt idx="242">
                  <c:v>0.22843009665536318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0152-4B25-9DC2-D05007B3A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6769743"/>
        <c:axId val="996772623"/>
      </c:scatterChart>
      <c:valAx>
        <c:axId val="99676974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size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996772623"/>
        <c:crosses val="autoZero"/>
        <c:crossBetween val="midCat"/>
      </c:valAx>
      <c:valAx>
        <c:axId val="996772623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Residuals</a:t>
                </a:r>
              </a:p>
            </c:rich>
          </c:tx>
          <c:overlay val="0"/>
        </c:title>
        <c:numFmt formatCode="0.00" sourceLinked="1"/>
        <c:majorTickMark val="out"/>
        <c:minorTickMark val="none"/>
        <c:tickLblPos val="nextTo"/>
        <c:crossAx val="996769743"/>
        <c:crosses val="autoZero"/>
        <c:crossBetween val="midCat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total_bill  Residual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xVal>
            <c:numRef>
              <c:f>'Data '!$K$2:$K$244</c:f>
              <c:numCache>
                <c:formatCode>General</c:formatCode>
                <c:ptCount val="243"/>
                <c:pt idx="0">
                  <c:v>16.989999999999998</c:v>
                </c:pt>
                <c:pt idx="1">
                  <c:v>10.34</c:v>
                </c:pt>
                <c:pt idx="2">
                  <c:v>21.01</c:v>
                </c:pt>
                <c:pt idx="3">
                  <c:v>23.68</c:v>
                </c:pt>
                <c:pt idx="4">
                  <c:v>24.59</c:v>
                </c:pt>
                <c:pt idx="5">
                  <c:v>25.29</c:v>
                </c:pt>
                <c:pt idx="6">
                  <c:v>8.77</c:v>
                </c:pt>
                <c:pt idx="7">
                  <c:v>26.88</c:v>
                </c:pt>
                <c:pt idx="8">
                  <c:v>15.04</c:v>
                </c:pt>
                <c:pt idx="9">
                  <c:v>14.78</c:v>
                </c:pt>
                <c:pt idx="10">
                  <c:v>10.27</c:v>
                </c:pt>
                <c:pt idx="11">
                  <c:v>35.26</c:v>
                </c:pt>
                <c:pt idx="12">
                  <c:v>15.42</c:v>
                </c:pt>
                <c:pt idx="13">
                  <c:v>18.43</c:v>
                </c:pt>
                <c:pt idx="14">
                  <c:v>14.83</c:v>
                </c:pt>
                <c:pt idx="15">
                  <c:v>21.58</c:v>
                </c:pt>
                <c:pt idx="16">
                  <c:v>10.33</c:v>
                </c:pt>
                <c:pt idx="17">
                  <c:v>16.29</c:v>
                </c:pt>
                <c:pt idx="18">
                  <c:v>16.97</c:v>
                </c:pt>
                <c:pt idx="19">
                  <c:v>20.65</c:v>
                </c:pt>
                <c:pt idx="20">
                  <c:v>17.920000000000002</c:v>
                </c:pt>
                <c:pt idx="21">
                  <c:v>20.29</c:v>
                </c:pt>
                <c:pt idx="22">
                  <c:v>15.77</c:v>
                </c:pt>
                <c:pt idx="23">
                  <c:v>39.42</c:v>
                </c:pt>
                <c:pt idx="24">
                  <c:v>19.82</c:v>
                </c:pt>
                <c:pt idx="25">
                  <c:v>17.809999999999999</c:v>
                </c:pt>
                <c:pt idx="26">
                  <c:v>13.37</c:v>
                </c:pt>
                <c:pt idx="27">
                  <c:v>12.69</c:v>
                </c:pt>
                <c:pt idx="28">
                  <c:v>21.7</c:v>
                </c:pt>
                <c:pt idx="29">
                  <c:v>19.649999999999999</c:v>
                </c:pt>
                <c:pt idx="30">
                  <c:v>9.5500000000000007</c:v>
                </c:pt>
                <c:pt idx="31">
                  <c:v>18.350000000000001</c:v>
                </c:pt>
                <c:pt idx="32">
                  <c:v>15.06</c:v>
                </c:pt>
                <c:pt idx="33">
                  <c:v>20.69</c:v>
                </c:pt>
                <c:pt idx="34">
                  <c:v>17.78</c:v>
                </c:pt>
                <c:pt idx="35">
                  <c:v>24.06</c:v>
                </c:pt>
                <c:pt idx="36">
                  <c:v>16.309999999999999</c:v>
                </c:pt>
                <c:pt idx="37">
                  <c:v>16.93</c:v>
                </c:pt>
                <c:pt idx="38">
                  <c:v>18.690000000000001</c:v>
                </c:pt>
                <c:pt idx="39">
                  <c:v>31.27</c:v>
                </c:pt>
                <c:pt idx="40">
                  <c:v>16.04</c:v>
                </c:pt>
                <c:pt idx="41">
                  <c:v>17.46</c:v>
                </c:pt>
                <c:pt idx="42">
                  <c:v>13.94</c:v>
                </c:pt>
                <c:pt idx="43">
                  <c:v>9.68</c:v>
                </c:pt>
                <c:pt idx="44">
                  <c:v>30.4</c:v>
                </c:pt>
                <c:pt idx="45">
                  <c:v>18.29</c:v>
                </c:pt>
                <c:pt idx="46">
                  <c:v>22.23</c:v>
                </c:pt>
                <c:pt idx="47">
                  <c:v>32.4</c:v>
                </c:pt>
                <c:pt idx="48">
                  <c:v>28.55</c:v>
                </c:pt>
                <c:pt idx="49">
                  <c:v>18.04</c:v>
                </c:pt>
                <c:pt idx="50">
                  <c:v>12.54</c:v>
                </c:pt>
                <c:pt idx="51">
                  <c:v>10.29</c:v>
                </c:pt>
                <c:pt idx="52">
                  <c:v>34.81</c:v>
                </c:pt>
                <c:pt idx="53">
                  <c:v>9.94</c:v>
                </c:pt>
                <c:pt idx="54">
                  <c:v>25.56</c:v>
                </c:pt>
                <c:pt idx="55">
                  <c:v>19.489999999999998</c:v>
                </c:pt>
                <c:pt idx="56">
                  <c:v>38.01</c:v>
                </c:pt>
                <c:pt idx="57">
                  <c:v>26.41</c:v>
                </c:pt>
                <c:pt idx="58">
                  <c:v>11.24</c:v>
                </c:pt>
                <c:pt idx="59">
                  <c:v>48.27</c:v>
                </c:pt>
                <c:pt idx="60">
                  <c:v>20.29</c:v>
                </c:pt>
                <c:pt idx="61">
                  <c:v>13.81</c:v>
                </c:pt>
                <c:pt idx="62">
                  <c:v>11.02</c:v>
                </c:pt>
                <c:pt idx="63">
                  <c:v>18.29</c:v>
                </c:pt>
                <c:pt idx="64">
                  <c:v>17.59</c:v>
                </c:pt>
                <c:pt idx="65">
                  <c:v>20.079999999999998</c:v>
                </c:pt>
                <c:pt idx="66">
                  <c:v>16.45</c:v>
                </c:pt>
                <c:pt idx="67">
                  <c:v>3.07</c:v>
                </c:pt>
                <c:pt idx="68">
                  <c:v>20.23</c:v>
                </c:pt>
                <c:pt idx="69">
                  <c:v>15.01</c:v>
                </c:pt>
                <c:pt idx="70">
                  <c:v>12.02</c:v>
                </c:pt>
                <c:pt idx="71">
                  <c:v>17.07</c:v>
                </c:pt>
                <c:pt idx="72">
                  <c:v>26.86</c:v>
                </c:pt>
                <c:pt idx="73">
                  <c:v>25.28</c:v>
                </c:pt>
                <c:pt idx="74">
                  <c:v>14.73</c:v>
                </c:pt>
                <c:pt idx="75">
                  <c:v>10.51</c:v>
                </c:pt>
                <c:pt idx="76">
                  <c:v>17.920000000000002</c:v>
                </c:pt>
                <c:pt idx="77">
                  <c:v>27.2</c:v>
                </c:pt>
                <c:pt idx="78">
                  <c:v>22.76</c:v>
                </c:pt>
                <c:pt idx="79">
                  <c:v>17.29</c:v>
                </c:pt>
                <c:pt idx="80">
                  <c:v>19.440000000000001</c:v>
                </c:pt>
                <c:pt idx="81">
                  <c:v>16.66</c:v>
                </c:pt>
                <c:pt idx="82">
                  <c:v>10.07</c:v>
                </c:pt>
                <c:pt idx="83">
                  <c:v>32.68</c:v>
                </c:pt>
                <c:pt idx="84">
                  <c:v>15.98</c:v>
                </c:pt>
                <c:pt idx="85">
                  <c:v>34.83</c:v>
                </c:pt>
                <c:pt idx="86">
                  <c:v>13.03</c:v>
                </c:pt>
                <c:pt idx="87">
                  <c:v>18.28</c:v>
                </c:pt>
                <c:pt idx="88">
                  <c:v>24.71</c:v>
                </c:pt>
                <c:pt idx="89">
                  <c:v>21.16</c:v>
                </c:pt>
                <c:pt idx="90">
                  <c:v>28.97</c:v>
                </c:pt>
                <c:pt idx="91">
                  <c:v>22.49</c:v>
                </c:pt>
                <c:pt idx="92">
                  <c:v>5.75</c:v>
                </c:pt>
                <c:pt idx="93">
                  <c:v>16.32</c:v>
                </c:pt>
                <c:pt idx="94">
                  <c:v>22.75</c:v>
                </c:pt>
                <c:pt idx="95">
                  <c:v>40.17</c:v>
                </c:pt>
                <c:pt idx="96">
                  <c:v>27.28</c:v>
                </c:pt>
                <c:pt idx="97">
                  <c:v>12.03</c:v>
                </c:pt>
                <c:pt idx="98">
                  <c:v>21.01</c:v>
                </c:pt>
                <c:pt idx="99">
                  <c:v>12.46</c:v>
                </c:pt>
                <c:pt idx="100">
                  <c:v>11.35</c:v>
                </c:pt>
                <c:pt idx="101">
                  <c:v>15.38</c:v>
                </c:pt>
                <c:pt idx="102">
                  <c:v>44.3</c:v>
                </c:pt>
                <c:pt idx="103">
                  <c:v>22.42</c:v>
                </c:pt>
                <c:pt idx="104">
                  <c:v>20.92</c:v>
                </c:pt>
                <c:pt idx="105">
                  <c:v>15.36</c:v>
                </c:pt>
                <c:pt idx="106">
                  <c:v>20.49</c:v>
                </c:pt>
                <c:pt idx="107">
                  <c:v>25.21</c:v>
                </c:pt>
                <c:pt idx="108">
                  <c:v>18.239999999999998</c:v>
                </c:pt>
                <c:pt idx="109">
                  <c:v>14.31</c:v>
                </c:pt>
                <c:pt idx="110">
                  <c:v>14</c:v>
                </c:pt>
                <c:pt idx="111">
                  <c:v>7.25</c:v>
                </c:pt>
                <c:pt idx="112">
                  <c:v>38.07</c:v>
                </c:pt>
                <c:pt idx="113">
                  <c:v>23.95</c:v>
                </c:pt>
                <c:pt idx="114">
                  <c:v>25.71</c:v>
                </c:pt>
                <c:pt idx="115">
                  <c:v>17.309999999999999</c:v>
                </c:pt>
                <c:pt idx="116">
                  <c:v>29.93</c:v>
                </c:pt>
                <c:pt idx="117">
                  <c:v>10.65</c:v>
                </c:pt>
                <c:pt idx="118">
                  <c:v>12.43</c:v>
                </c:pt>
                <c:pt idx="119">
                  <c:v>24.08</c:v>
                </c:pt>
                <c:pt idx="120">
                  <c:v>11.69</c:v>
                </c:pt>
                <c:pt idx="121">
                  <c:v>13.42</c:v>
                </c:pt>
                <c:pt idx="122">
                  <c:v>14.26</c:v>
                </c:pt>
                <c:pt idx="123">
                  <c:v>15.95</c:v>
                </c:pt>
                <c:pt idx="124">
                  <c:v>12.48</c:v>
                </c:pt>
                <c:pt idx="125">
                  <c:v>29.8</c:v>
                </c:pt>
                <c:pt idx="126">
                  <c:v>8.52</c:v>
                </c:pt>
                <c:pt idx="127">
                  <c:v>14.52</c:v>
                </c:pt>
                <c:pt idx="128">
                  <c:v>11.38</c:v>
                </c:pt>
                <c:pt idx="129">
                  <c:v>22.82</c:v>
                </c:pt>
                <c:pt idx="130">
                  <c:v>19.079999999999998</c:v>
                </c:pt>
                <c:pt idx="131">
                  <c:v>20.27</c:v>
                </c:pt>
                <c:pt idx="132">
                  <c:v>11.17</c:v>
                </c:pt>
                <c:pt idx="133">
                  <c:v>12.26</c:v>
                </c:pt>
                <c:pt idx="134">
                  <c:v>18.260000000000002</c:v>
                </c:pt>
                <c:pt idx="135">
                  <c:v>8.51</c:v>
                </c:pt>
                <c:pt idx="136">
                  <c:v>10.33</c:v>
                </c:pt>
                <c:pt idx="137">
                  <c:v>14.15</c:v>
                </c:pt>
                <c:pt idx="138">
                  <c:v>16</c:v>
                </c:pt>
                <c:pt idx="139">
                  <c:v>13.16</c:v>
                </c:pt>
                <c:pt idx="140">
                  <c:v>17.47</c:v>
                </c:pt>
                <c:pt idx="141">
                  <c:v>34.299999999999997</c:v>
                </c:pt>
                <c:pt idx="142">
                  <c:v>41.19</c:v>
                </c:pt>
                <c:pt idx="143">
                  <c:v>27.05</c:v>
                </c:pt>
                <c:pt idx="144">
                  <c:v>16.43</c:v>
                </c:pt>
                <c:pt idx="145">
                  <c:v>8.35</c:v>
                </c:pt>
                <c:pt idx="146">
                  <c:v>18.64</c:v>
                </c:pt>
                <c:pt idx="147">
                  <c:v>11.87</c:v>
                </c:pt>
                <c:pt idx="148">
                  <c:v>9.7799999999999994</c:v>
                </c:pt>
                <c:pt idx="149">
                  <c:v>7.51</c:v>
                </c:pt>
                <c:pt idx="150">
                  <c:v>14.07</c:v>
                </c:pt>
                <c:pt idx="151">
                  <c:v>13.13</c:v>
                </c:pt>
                <c:pt idx="152">
                  <c:v>17.260000000000002</c:v>
                </c:pt>
                <c:pt idx="153">
                  <c:v>24.55</c:v>
                </c:pt>
                <c:pt idx="154">
                  <c:v>19.77</c:v>
                </c:pt>
                <c:pt idx="155">
                  <c:v>29.85</c:v>
                </c:pt>
                <c:pt idx="156">
                  <c:v>48.17</c:v>
                </c:pt>
                <c:pt idx="157">
                  <c:v>25</c:v>
                </c:pt>
                <c:pt idx="158">
                  <c:v>13.39</c:v>
                </c:pt>
                <c:pt idx="159">
                  <c:v>16.489999999999998</c:v>
                </c:pt>
                <c:pt idx="160">
                  <c:v>21.5</c:v>
                </c:pt>
                <c:pt idx="161">
                  <c:v>12.66</c:v>
                </c:pt>
                <c:pt idx="162">
                  <c:v>16.21</c:v>
                </c:pt>
                <c:pt idx="163">
                  <c:v>13.81</c:v>
                </c:pt>
                <c:pt idx="164">
                  <c:v>17.510000000000002</c:v>
                </c:pt>
                <c:pt idx="165">
                  <c:v>24.52</c:v>
                </c:pt>
                <c:pt idx="166">
                  <c:v>20.76</c:v>
                </c:pt>
                <c:pt idx="167">
                  <c:v>31.71</c:v>
                </c:pt>
                <c:pt idx="168">
                  <c:v>10.59</c:v>
                </c:pt>
                <c:pt idx="169">
                  <c:v>10.63</c:v>
                </c:pt>
                <c:pt idx="170">
                  <c:v>50.81</c:v>
                </c:pt>
                <c:pt idx="171">
                  <c:v>15.81</c:v>
                </c:pt>
                <c:pt idx="172">
                  <c:v>7.25</c:v>
                </c:pt>
                <c:pt idx="173">
                  <c:v>31.85</c:v>
                </c:pt>
                <c:pt idx="174">
                  <c:v>16.82</c:v>
                </c:pt>
                <c:pt idx="175">
                  <c:v>32.9</c:v>
                </c:pt>
                <c:pt idx="176">
                  <c:v>17.89</c:v>
                </c:pt>
                <c:pt idx="177">
                  <c:v>14.48</c:v>
                </c:pt>
                <c:pt idx="178">
                  <c:v>9.6</c:v>
                </c:pt>
                <c:pt idx="179">
                  <c:v>34.630000000000003</c:v>
                </c:pt>
                <c:pt idx="180">
                  <c:v>34.65</c:v>
                </c:pt>
                <c:pt idx="181">
                  <c:v>23.33</c:v>
                </c:pt>
                <c:pt idx="182">
                  <c:v>45.35</c:v>
                </c:pt>
                <c:pt idx="183">
                  <c:v>23.17</c:v>
                </c:pt>
                <c:pt idx="184">
                  <c:v>40.549999999999997</c:v>
                </c:pt>
                <c:pt idx="185">
                  <c:v>20.69</c:v>
                </c:pt>
                <c:pt idx="186">
                  <c:v>20.9</c:v>
                </c:pt>
                <c:pt idx="187">
                  <c:v>30.46</c:v>
                </c:pt>
                <c:pt idx="188">
                  <c:v>18.149999999999999</c:v>
                </c:pt>
                <c:pt idx="189">
                  <c:v>23.1</c:v>
                </c:pt>
                <c:pt idx="190">
                  <c:v>15.69</c:v>
                </c:pt>
                <c:pt idx="191">
                  <c:v>19.809999999999999</c:v>
                </c:pt>
                <c:pt idx="192">
                  <c:v>28.44</c:v>
                </c:pt>
                <c:pt idx="193">
                  <c:v>15.48</c:v>
                </c:pt>
                <c:pt idx="194">
                  <c:v>16.579999999999998</c:v>
                </c:pt>
                <c:pt idx="195">
                  <c:v>7.56</c:v>
                </c:pt>
                <c:pt idx="196">
                  <c:v>10.34</c:v>
                </c:pt>
                <c:pt idx="197">
                  <c:v>43.11</c:v>
                </c:pt>
                <c:pt idx="198">
                  <c:v>13</c:v>
                </c:pt>
                <c:pt idx="199">
                  <c:v>13.51</c:v>
                </c:pt>
                <c:pt idx="200">
                  <c:v>18.71</c:v>
                </c:pt>
                <c:pt idx="201">
                  <c:v>12.74</c:v>
                </c:pt>
                <c:pt idx="202">
                  <c:v>16.399999999999999</c:v>
                </c:pt>
                <c:pt idx="203">
                  <c:v>20.53</c:v>
                </c:pt>
                <c:pt idx="204">
                  <c:v>16.47</c:v>
                </c:pt>
                <c:pt idx="205">
                  <c:v>26.59</c:v>
                </c:pt>
                <c:pt idx="206">
                  <c:v>38.729999999999997</c:v>
                </c:pt>
                <c:pt idx="207">
                  <c:v>24.27</c:v>
                </c:pt>
                <c:pt idx="208">
                  <c:v>12.76</c:v>
                </c:pt>
                <c:pt idx="209">
                  <c:v>30.06</c:v>
                </c:pt>
                <c:pt idx="210">
                  <c:v>25.89</c:v>
                </c:pt>
                <c:pt idx="211">
                  <c:v>48.33</c:v>
                </c:pt>
                <c:pt idx="212">
                  <c:v>13.27</c:v>
                </c:pt>
                <c:pt idx="213">
                  <c:v>28.17</c:v>
                </c:pt>
                <c:pt idx="214">
                  <c:v>12.9</c:v>
                </c:pt>
                <c:pt idx="215">
                  <c:v>28.15</c:v>
                </c:pt>
                <c:pt idx="216">
                  <c:v>11.59</c:v>
                </c:pt>
                <c:pt idx="217">
                  <c:v>7.74</c:v>
                </c:pt>
                <c:pt idx="218">
                  <c:v>30.14</c:v>
                </c:pt>
                <c:pt idx="219">
                  <c:v>12.16</c:v>
                </c:pt>
                <c:pt idx="220">
                  <c:v>13.42</c:v>
                </c:pt>
                <c:pt idx="221">
                  <c:v>8.58</c:v>
                </c:pt>
                <c:pt idx="222">
                  <c:v>15.98</c:v>
                </c:pt>
                <c:pt idx="223">
                  <c:v>13.42</c:v>
                </c:pt>
                <c:pt idx="224">
                  <c:v>16.27</c:v>
                </c:pt>
                <c:pt idx="225">
                  <c:v>10.09</c:v>
                </c:pt>
                <c:pt idx="226">
                  <c:v>20.45</c:v>
                </c:pt>
                <c:pt idx="227">
                  <c:v>13.28</c:v>
                </c:pt>
                <c:pt idx="228">
                  <c:v>22.12</c:v>
                </c:pt>
                <c:pt idx="229">
                  <c:v>24.01</c:v>
                </c:pt>
                <c:pt idx="230">
                  <c:v>15.69</c:v>
                </c:pt>
                <c:pt idx="231">
                  <c:v>11.61</c:v>
                </c:pt>
                <c:pt idx="232">
                  <c:v>10.77</c:v>
                </c:pt>
                <c:pt idx="233">
                  <c:v>15.53</c:v>
                </c:pt>
                <c:pt idx="234">
                  <c:v>10.07</c:v>
                </c:pt>
                <c:pt idx="235">
                  <c:v>12.6</c:v>
                </c:pt>
                <c:pt idx="236">
                  <c:v>32.83</c:v>
                </c:pt>
                <c:pt idx="237">
                  <c:v>35.83</c:v>
                </c:pt>
                <c:pt idx="238">
                  <c:v>29.03</c:v>
                </c:pt>
                <c:pt idx="239">
                  <c:v>27.18</c:v>
                </c:pt>
                <c:pt idx="240">
                  <c:v>22.67</c:v>
                </c:pt>
                <c:pt idx="241">
                  <c:v>17.82</c:v>
                </c:pt>
                <c:pt idx="242">
                  <c:v>18.78</c:v>
                </c:pt>
              </c:numCache>
            </c:numRef>
          </c:xVal>
          <c:yVal>
            <c:numRef>
              <c:f>'Model 3'!$O$4:$O$246</c:f>
              <c:numCache>
                <c:formatCode>0.00</c:formatCode>
                <c:ptCount val="243"/>
                <c:pt idx="0">
                  <c:v>-1.7264916373525201</c:v>
                </c:pt>
                <c:pt idx="1">
                  <c:v>-0.59039632965188393</c:v>
                </c:pt>
                <c:pt idx="2">
                  <c:v>0.24214260491435446</c:v>
                </c:pt>
                <c:pt idx="3">
                  <c:v>-2.3868707219409036E-2</c:v>
                </c:pt>
                <c:pt idx="4">
                  <c:v>-0.19626340734111958</c:v>
                </c:pt>
                <c:pt idx="5">
                  <c:v>0.87193513497083242</c:v>
                </c:pt>
                <c:pt idx="6">
                  <c:v>7.3933025265819463E-2</c:v>
                </c:pt>
                <c:pt idx="7">
                  <c:v>-0.86819261517346735</c:v>
                </c:pt>
                <c:pt idx="8">
                  <c:v>-0.55808017813340172</c:v>
                </c:pt>
                <c:pt idx="9">
                  <c:v>0.7364690137140939</c:v>
                </c:pt>
                <c:pt idx="10">
                  <c:v>-0.35769692770050154</c:v>
                </c:pt>
                <c:pt idx="11">
                  <c:v>0.18627552722511886</c:v>
                </c:pt>
                <c:pt idx="12">
                  <c:v>-0.98395976621820247</c:v>
                </c:pt>
                <c:pt idx="13">
                  <c:v>-0.19034388012986092</c:v>
                </c:pt>
                <c:pt idx="14">
                  <c:v>0.48745549491898155</c:v>
                </c:pt>
                <c:pt idx="15">
                  <c:v>0.78441322693343984</c:v>
                </c:pt>
                <c:pt idx="16">
                  <c:v>-0.6137446503283428</c:v>
                </c:pt>
                <c:pt idx="17">
                  <c:v>0.89780485691504408</c:v>
                </c:pt>
                <c:pt idx="18">
                  <c:v>0.58930675787407738</c:v>
                </c:pt>
                <c:pt idx="19">
                  <c:v>0.22303754806680631</c:v>
                </c:pt>
                <c:pt idx="20">
                  <c:v>1.3868940666117968</c:v>
                </c:pt>
                <c:pt idx="21">
                  <c:v>-0.20117377943789139</c:v>
                </c:pt>
                <c:pt idx="22">
                  <c:v>-0.29439552116604473</c:v>
                </c:pt>
                <c:pt idx="23">
                  <c:v>2.5046847324686254</c:v>
                </c:pt>
                <c:pt idx="24">
                  <c:v>0.30749612618779087</c:v>
                </c:pt>
                <c:pt idx="25">
                  <c:v>-0.6948997451299137</c:v>
                </c:pt>
                <c:pt idx="26">
                  <c:v>-0.26349507605702982</c:v>
                </c:pt>
                <c:pt idx="27">
                  <c:v>-0.19928949737896495</c:v>
                </c:pt>
                <c:pt idx="28">
                  <c:v>1.2499865851366683</c:v>
                </c:pt>
                <c:pt idx="29">
                  <c:v>0.10925500049440551</c:v>
                </c:pt>
                <c:pt idx="30">
                  <c:v>-0.45281079583613337</c:v>
                </c:pt>
                <c:pt idx="31">
                  <c:v>-0.58588652819778897</c:v>
                </c:pt>
                <c:pt idx="32">
                  <c:v>0.54264265657134692</c:v>
                </c:pt>
                <c:pt idx="33">
                  <c:v>-0.89112177518815106</c:v>
                </c:pt>
                <c:pt idx="34">
                  <c:v>0.59011286222198667</c:v>
                </c:pt>
                <c:pt idx="35">
                  <c:v>0.15106545499003721</c:v>
                </c:pt>
                <c:pt idx="36">
                  <c:v>-0.71717978801730542</c:v>
                </c:pt>
                <c:pt idx="37">
                  <c:v>0.25998731106037987</c:v>
                </c:pt>
                <c:pt idx="38">
                  <c:v>-0.63189931339053507</c:v>
                </c:pt>
                <c:pt idx="39">
                  <c:v>0.87029748106525506</c:v>
                </c:pt>
                <c:pt idx="40">
                  <c:v>-0.4516863964833675</c:v>
                </c:pt>
                <c:pt idx="41">
                  <c:v>-0.20657650225239887</c:v>
                </c:pt>
                <c:pt idx="42">
                  <c:v>0.64578178737523384</c:v>
                </c:pt>
                <c:pt idx="43">
                  <c:v>-0.69198914620041507</c:v>
                </c:pt>
                <c:pt idx="44">
                  <c:v>1.279449095198899</c:v>
                </c:pt>
                <c:pt idx="45">
                  <c:v>0.17505492377290377</c:v>
                </c:pt>
                <c:pt idx="46">
                  <c:v>1.8030402473147009</c:v>
                </c:pt>
                <c:pt idx="47">
                  <c:v>1.4906091579104714</c:v>
                </c:pt>
                <c:pt idx="48">
                  <c:v>-1.9197839586630181</c:v>
                </c:pt>
                <c:pt idx="49">
                  <c:v>0.19865991593395727</c:v>
                </c:pt>
                <c:pt idx="50">
                  <c:v>0.21796974347713327</c:v>
                </c:pt>
                <c:pt idx="51">
                  <c:v>0.49612215256371295</c:v>
                </c:pt>
                <c:pt idx="52">
                  <c:v>0.42876451311501551</c:v>
                </c:pt>
                <c:pt idx="53">
                  <c:v>-0.47653833804791068</c:v>
                </c:pt>
                <c:pt idx="54">
                  <c:v>0.4764417434368946</c:v>
                </c:pt>
                <c:pt idx="55">
                  <c:v>0.5717509613998466</c:v>
                </c:pt>
                <c:pt idx="56">
                  <c:v>-1.8589349859498752</c:v>
                </c:pt>
                <c:pt idx="57">
                  <c:v>-2.0290239875404801</c:v>
                </c:pt>
                <c:pt idx="58">
                  <c:v>-0.21913241705169662</c:v>
                </c:pt>
                <c:pt idx="59">
                  <c:v>0.81906800996733331</c:v>
                </c:pt>
                <c:pt idx="60">
                  <c:v>0.37636686671816832</c:v>
                </c:pt>
                <c:pt idx="61">
                  <c:v>-0.22179173646732631</c:v>
                </c:pt>
                <c:pt idx="62">
                  <c:v>2.163997605003054E-2</c:v>
                </c:pt>
                <c:pt idx="63">
                  <c:v>0.76302679571402177</c:v>
                </c:pt>
                <c:pt idx="64">
                  <c:v>-0.19803734788189908</c:v>
                </c:pt>
                <c:pt idx="65">
                  <c:v>7.6856930194007855E-2</c:v>
                </c:pt>
                <c:pt idx="66">
                  <c:v>-0.11860109984411027</c:v>
                </c:pt>
                <c:pt idx="67">
                  <c:v>-6.5923789445083925E-2</c:v>
                </c:pt>
                <c:pt idx="68">
                  <c:v>-0.90121606095633755</c:v>
                </c:pt>
                <c:pt idx="69">
                  <c:v>-0.24509569884038296</c:v>
                </c:pt>
                <c:pt idx="70">
                  <c:v>-0.16602811838734133</c:v>
                </c:pt>
                <c:pt idx="71">
                  <c:v>0.17676851545019012</c:v>
                </c:pt>
                <c:pt idx="72">
                  <c:v>-0.3482648476372181</c:v>
                </c:pt>
                <c:pt idx="73">
                  <c:v>1.6609187028206391</c:v>
                </c:pt>
                <c:pt idx="74">
                  <c:v>-0.22619875377606213</c:v>
                </c:pt>
                <c:pt idx="75">
                  <c:v>-0.74345396573457867</c:v>
                </c:pt>
                <c:pt idx="76">
                  <c:v>0.47014219240495514</c:v>
                </c:pt>
                <c:pt idx="77">
                  <c:v>4.765806521539373E-2</c:v>
                </c:pt>
                <c:pt idx="78">
                  <c:v>-0.18093726571172253</c:v>
                </c:pt>
                <c:pt idx="79">
                  <c:v>4.5539962772127573E-2</c:v>
                </c:pt>
                <c:pt idx="80">
                  <c:v>0.21578515598022552</c:v>
                </c:pt>
                <c:pt idx="81">
                  <c:v>0.79502454301798187</c:v>
                </c:pt>
                <c:pt idx="82">
                  <c:v>-1.0950379833263302E-2</c:v>
                </c:pt>
                <c:pt idx="83">
                  <c:v>0.96566477113083415</c:v>
                </c:pt>
                <c:pt idx="84">
                  <c:v>-0.51076987830395293</c:v>
                </c:pt>
                <c:pt idx="85">
                  <c:v>0.46294118409714091</c:v>
                </c:pt>
                <c:pt idx="86">
                  <c:v>-0.26223097080352176</c:v>
                </c:pt>
                <c:pt idx="87">
                  <c:v>1.2420641938143553</c:v>
                </c:pt>
                <c:pt idx="88">
                  <c:v>2.4849437954320601</c:v>
                </c:pt>
                <c:pt idx="89">
                  <c:v>-2.986531588098007E-2</c:v>
                </c:pt>
                <c:pt idx="90">
                  <c:v>-0.77332210061288231</c:v>
                </c:pt>
                <c:pt idx="91">
                  <c:v>0.25527117040846514</c:v>
                </c:pt>
                <c:pt idx="92">
                  <c:v>-0.61518294905713855</c:v>
                </c:pt>
                <c:pt idx="93">
                  <c:v>1.6867979823735206</c:v>
                </c:pt>
                <c:pt idx="94">
                  <c:v>-5.3570541801931881E-2</c:v>
                </c:pt>
                <c:pt idx="95">
                  <c:v>-0.45300575772065166</c:v>
                </c:pt>
                <c:pt idx="96">
                  <c:v>0.38624764639583864</c:v>
                </c:pt>
                <c:pt idx="97">
                  <c:v>-0.67384783177990037</c:v>
                </c:pt>
                <c:pt idx="98">
                  <c:v>-2.173915020494066E-2</c:v>
                </c:pt>
                <c:pt idx="99">
                  <c:v>-0.79769654409007007</c:v>
                </c:pt>
                <c:pt idx="100">
                  <c:v>0.35606522653526396</c:v>
                </c:pt>
                <c:pt idx="101">
                  <c:v>0.47555275289908217</c:v>
                </c:pt>
                <c:pt idx="102">
                  <c:v>-2.8110391049385948</c:v>
                </c:pt>
                <c:pt idx="103">
                  <c:v>0.41095981314309071</c:v>
                </c:pt>
                <c:pt idx="104">
                  <c:v>1.0693416403162539</c:v>
                </c:pt>
                <c:pt idx="105">
                  <c:v>-0.72814268786585745</c:v>
                </c:pt>
                <c:pt idx="106">
                  <c:v>1.207482872989325</c:v>
                </c:pt>
                <c:pt idx="107">
                  <c:v>0.99182062098863621</c:v>
                </c:pt>
                <c:pt idx="108">
                  <c:v>1.0366796766456483</c:v>
                </c:pt>
                <c:pt idx="109">
                  <c:v>1.6967057588476653</c:v>
                </c:pt>
                <c:pt idx="110">
                  <c:v>0.67702034369711495</c:v>
                </c:pt>
                <c:pt idx="111">
                  <c:v>-0.54384738417105583</c:v>
                </c:pt>
                <c:pt idx="112">
                  <c:v>-0.86866206015593406</c:v>
                </c:pt>
                <c:pt idx="113">
                  <c:v>-0.80936209875334697</c:v>
                </c:pt>
                <c:pt idx="114">
                  <c:v>0.26407623192364804</c:v>
                </c:pt>
                <c:pt idx="115">
                  <c:v>0.73329397268133167</c:v>
                </c:pt>
                <c:pt idx="116">
                  <c:v>0.79382648046168036</c:v>
                </c:pt>
                <c:pt idx="117">
                  <c:v>-0.57180396579319481</c:v>
                </c:pt>
                <c:pt idx="118">
                  <c:v>-0.4398715099798951</c:v>
                </c:pt>
                <c:pt idx="119">
                  <c:v>-0.77204415297756057</c:v>
                </c:pt>
                <c:pt idx="120">
                  <c:v>0.17429178717972471</c:v>
                </c:pt>
                <c:pt idx="121">
                  <c:v>-0.65334727893766664</c:v>
                </c:pt>
                <c:pt idx="122">
                  <c:v>0.12163246776409498</c:v>
                </c:pt>
                <c:pt idx="123">
                  <c:v>-0.53793727924462598</c:v>
                </c:pt>
                <c:pt idx="124">
                  <c:v>0.2754074915878939</c:v>
                </c:pt>
                <c:pt idx="125">
                  <c:v>-0.38430638191503785</c:v>
                </c:pt>
                <c:pt idx="126">
                  <c:v>-0.35639691221811742</c:v>
                </c:pt>
                <c:pt idx="127">
                  <c:v>-0.43720924444630205</c:v>
                </c:pt>
                <c:pt idx="128">
                  <c:v>-0.14073054290347065</c:v>
                </c:pt>
                <c:pt idx="129">
                  <c:v>-1.1826924679766622</c:v>
                </c:pt>
                <c:pt idx="130">
                  <c:v>-1.3334717811010153</c:v>
                </c:pt>
                <c:pt idx="131">
                  <c:v>-0.15012406415053148</c:v>
                </c:pt>
                <c:pt idx="132">
                  <c:v>-0.62090234948818601</c:v>
                </c:pt>
                <c:pt idx="133">
                  <c:v>-0.22382011531037893</c:v>
                </c:pt>
                <c:pt idx="134">
                  <c:v>0.45966007282433807</c:v>
                </c:pt>
                <c:pt idx="135">
                  <c:v>-0.61974523289457695</c:v>
                </c:pt>
                <c:pt idx="136">
                  <c:v>-4.1589575827046144E-2</c:v>
                </c:pt>
                <c:pt idx="137">
                  <c:v>-0.40227385604794286</c:v>
                </c:pt>
                <c:pt idx="138">
                  <c:v>-0.45941015188367906</c:v>
                </c:pt>
                <c:pt idx="139">
                  <c:v>0.44120191290982902</c:v>
                </c:pt>
                <c:pt idx="140">
                  <c:v>0.78425184805326698</c:v>
                </c:pt>
                <c:pt idx="141">
                  <c:v>1.725096279548902</c:v>
                </c:pt>
                <c:pt idx="142">
                  <c:v>-0.44936730026344485</c:v>
                </c:pt>
                <c:pt idx="143">
                  <c:v>0.67534853185655042</c:v>
                </c:pt>
                <c:pt idx="144">
                  <c:v>-0.3175513845567508</c:v>
                </c:pt>
                <c:pt idx="145">
                  <c:v>-0.35463803791150261</c:v>
                </c:pt>
                <c:pt idx="146">
                  <c:v>-1.6423095194067499</c:v>
                </c:pt>
                <c:pt idx="147">
                  <c:v>-0.55699632753913519</c:v>
                </c:pt>
                <c:pt idx="148">
                  <c:v>-0.22536607270982678</c:v>
                </c:pt>
                <c:pt idx="149">
                  <c:v>0.25896725611253846</c:v>
                </c:pt>
                <c:pt idx="150">
                  <c:v>7.3507191451485987E-2</c:v>
                </c:pt>
                <c:pt idx="151">
                  <c:v>-0.3377380380229531</c:v>
                </c:pt>
                <c:pt idx="152">
                  <c:v>-0.16378251266984334</c:v>
                </c:pt>
                <c:pt idx="153">
                  <c:v>-1.7681940882324496</c:v>
                </c:pt>
                <c:pt idx="154">
                  <c:v>-1.3168666381131073</c:v>
                </c:pt>
                <c:pt idx="155">
                  <c:v>0.66099755344402755</c:v>
                </c:pt>
                <c:pt idx="156">
                  <c:v>-1.3505737559013546</c:v>
                </c:pt>
                <c:pt idx="157">
                  <c:v>-9.4975594485247061E-2</c:v>
                </c:pt>
                <c:pt idx="158">
                  <c:v>0.21342024976664975</c:v>
                </c:pt>
                <c:pt idx="159">
                  <c:v>-1.0071691409600856</c:v>
                </c:pt>
                <c:pt idx="160">
                  <c:v>1.9786816132402851E-2</c:v>
                </c:pt>
                <c:pt idx="161">
                  <c:v>0.20663934723982713</c:v>
                </c:pt>
                <c:pt idx="162">
                  <c:v>-0.83893406595632047</c:v>
                </c:pt>
                <c:pt idx="163">
                  <c:v>-0.40194361670101841</c:v>
                </c:pt>
                <c:pt idx="164">
                  <c:v>0.29765810474564658</c:v>
                </c:pt>
                <c:pt idx="165">
                  <c:v>-0.1092714850268357</c:v>
                </c:pt>
                <c:pt idx="166">
                  <c:v>-0.81816239877830466</c:v>
                </c:pt>
                <c:pt idx="167">
                  <c:v>5.5758936274979298E-2</c:v>
                </c:pt>
                <c:pt idx="168">
                  <c:v>-0.34205195779585895</c:v>
                </c:pt>
                <c:pt idx="169">
                  <c:v>4.4171243458372089E-2</c:v>
                </c:pt>
                <c:pt idx="170">
                  <c:v>4.1085794195504741</c:v>
                </c:pt>
                <c:pt idx="171">
                  <c:v>0.74936832624424632</c:v>
                </c:pt>
                <c:pt idx="172">
                  <c:v>3.4506995033981824</c:v>
                </c:pt>
                <c:pt idx="173">
                  <c:v>-0.84203172524947822</c:v>
                </c:pt>
                <c:pt idx="174">
                  <c:v>1.3971004034730559</c:v>
                </c:pt>
                <c:pt idx="175">
                  <c:v>-1.011172692325903</c:v>
                </c:pt>
                <c:pt idx="176">
                  <c:v>-0.70392896297625285</c:v>
                </c:pt>
                <c:pt idx="177">
                  <c:v>-0.38195686989948374</c:v>
                </c:pt>
                <c:pt idx="178">
                  <c:v>2.0445200567213782</c:v>
                </c:pt>
                <c:pt idx="179">
                  <c:v>-0.73451923808039332</c:v>
                </c:pt>
                <c:pt idx="180">
                  <c:v>-0.95858764574585065</c:v>
                </c:pt>
                <c:pt idx="181">
                  <c:v>2.4324264075992241</c:v>
                </c:pt>
                <c:pt idx="182">
                  <c:v>-1.9727913060926525</c:v>
                </c:pt>
                <c:pt idx="183">
                  <c:v>2.945353594289724</c:v>
                </c:pt>
                <c:pt idx="184">
                  <c:v>-1.8434854524541384</c:v>
                </c:pt>
                <c:pt idx="185">
                  <c:v>1.4201769865879288</c:v>
                </c:pt>
                <c:pt idx="186">
                  <c:v>0.30148440689547495</c:v>
                </c:pt>
                <c:pt idx="187">
                  <c:v>-2.4190579812728821</c:v>
                </c:pt>
                <c:pt idx="188">
                  <c:v>0.56113932066706296</c:v>
                </c:pt>
                <c:pt idx="189">
                  <c:v>0.62805299624110544</c:v>
                </c:pt>
                <c:pt idx="190">
                  <c:v>-0.9962050319589828</c:v>
                </c:pt>
                <c:pt idx="191">
                  <c:v>1.3365572472189653</c:v>
                </c:pt>
                <c:pt idx="192">
                  <c:v>-1.0739945618176994</c:v>
                </c:pt>
                <c:pt idx="193">
                  <c:v>-0.39031176818868785</c:v>
                </c:pt>
                <c:pt idx="194">
                  <c:v>1.4858262663026771</c:v>
                </c:pt>
                <c:pt idx="195">
                  <c:v>-0.30575374231967212</c:v>
                </c:pt>
                <c:pt idx="196">
                  <c:v>7.5006870642571277E-2</c:v>
                </c:pt>
                <c:pt idx="197">
                  <c:v>-0.40560803048379235</c:v>
                </c:pt>
                <c:pt idx="198">
                  <c:v>-0.21044276631393899</c:v>
                </c:pt>
                <c:pt idx="199">
                  <c:v>-0.22430442995958666</c:v>
                </c:pt>
                <c:pt idx="200">
                  <c:v>1.1086217289442142</c:v>
                </c:pt>
                <c:pt idx="201">
                  <c:v>-0.1758935744664436</c:v>
                </c:pt>
                <c:pt idx="202">
                  <c:v>-3.1470659704265991E-2</c:v>
                </c:pt>
                <c:pt idx="203">
                  <c:v>0.76068738186545826</c:v>
                </c:pt>
                <c:pt idx="204">
                  <c:v>0.51582993834435209</c:v>
                </c:pt>
                <c:pt idx="205">
                  <c:v>-0.19456893988666568</c:v>
                </c:pt>
                <c:pt idx="206">
                  <c:v>-1.9269173633737093</c:v>
                </c:pt>
                <c:pt idx="207">
                  <c:v>-1.1794246084858027</c:v>
                </c:pt>
                <c:pt idx="208">
                  <c:v>7.3056710246196754E-2</c:v>
                </c:pt>
                <c:pt idx="209">
                  <c:v>-1.932206231082088</c:v>
                </c:pt>
                <c:pt idx="210">
                  <c:v>1.4454350340179967</c:v>
                </c:pt>
                <c:pt idx="211">
                  <c:v>3.0834028118486803</c:v>
                </c:pt>
                <c:pt idx="212">
                  <c:v>0.29490252623764768</c:v>
                </c:pt>
                <c:pt idx="213">
                  <c:v>2.7119549892925745</c:v>
                </c:pt>
                <c:pt idx="214">
                  <c:v>-1.070162085363993</c:v>
                </c:pt>
                <c:pt idx="215">
                  <c:v>-1.1040440992642138</c:v>
                </c:pt>
                <c:pt idx="216">
                  <c:v>-0.51217940607717161</c:v>
                </c:pt>
                <c:pt idx="217">
                  <c:v>-0.20866252679694819</c:v>
                </c:pt>
                <c:pt idx="218">
                  <c:v>-1.0601423530828136</c:v>
                </c:pt>
                <c:pt idx="219">
                  <c:v>-5.3990835229663858E-2</c:v>
                </c:pt>
                <c:pt idx="220">
                  <c:v>1.0727474839157249</c:v>
                </c:pt>
                <c:pt idx="221">
                  <c:v>0.18012265666290839</c:v>
                </c:pt>
                <c:pt idx="222">
                  <c:v>9.1694234247092332E-2</c:v>
                </c:pt>
                <c:pt idx="223">
                  <c:v>-0.79295999572137355</c:v>
                </c:pt>
                <c:pt idx="224">
                  <c:v>-0.17634942672028453</c:v>
                </c:pt>
                <c:pt idx="225">
                  <c:v>-9.2834020499043213E-2</c:v>
                </c:pt>
                <c:pt idx="226">
                  <c:v>-0.28416846235063797</c:v>
                </c:pt>
                <c:pt idx="227">
                  <c:v>0.46500272112094931</c:v>
                </c:pt>
                <c:pt idx="228">
                  <c:v>-0.16071419626364492</c:v>
                </c:pt>
                <c:pt idx="229">
                  <c:v>-1.5370554249308817</c:v>
                </c:pt>
                <c:pt idx="230">
                  <c:v>0.42460871833526515</c:v>
                </c:pt>
                <c:pt idx="231">
                  <c:v>1.2926840687567864</c:v>
                </c:pt>
                <c:pt idx="232">
                  <c:v>-0.54800315758207385</c:v>
                </c:pt>
                <c:pt idx="233">
                  <c:v>0.61580591746462598</c:v>
                </c:pt>
                <c:pt idx="234">
                  <c:v>-0.70190917953112453</c:v>
                </c:pt>
                <c:pt idx="235">
                  <c:v>-1.1075435744078277</c:v>
                </c:pt>
                <c:pt idx="236">
                  <c:v>-2.8476595400802731</c:v>
                </c:pt>
                <c:pt idx="237">
                  <c:v>7.5449903684738473E-2</c:v>
                </c:pt>
                <c:pt idx="238">
                  <c:v>2.0017982108282943</c:v>
                </c:pt>
                <c:pt idx="239">
                  <c:v>-1.5184792376033669</c:v>
                </c:pt>
                <c:pt idx="240">
                  <c:v>-1.0583526586550613</c:v>
                </c:pt>
                <c:pt idx="241">
                  <c:v>-0.93366393652378177</c:v>
                </c:pt>
                <c:pt idx="242">
                  <c:v>0.22843009665536318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EDAA-439C-BF3D-D355825210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83325167"/>
        <c:axId val="983329487"/>
      </c:scatterChart>
      <c:valAx>
        <c:axId val="98332516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total_bill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983329487"/>
        <c:crosses val="autoZero"/>
        <c:crossBetween val="midCat"/>
      </c:valAx>
      <c:valAx>
        <c:axId val="983329487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Residuals</a:t>
                </a:r>
              </a:p>
            </c:rich>
          </c:tx>
          <c:overlay val="0"/>
        </c:title>
        <c:numFmt formatCode="0.00" sourceLinked="1"/>
        <c:majorTickMark val="out"/>
        <c:minorTickMark val="none"/>
        <c:tickLblPos val="nextTo"/>
        <c:crossAx val="983325167"/>
        <c:crosses val="autoZero"/>
        <c:crossBetween val="midCat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[Customer behaviour and tips prediction project (Recovered).xlsx]Working Sheet!PivotTable1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'Working Sheet'!$B$1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'Working Sheet'!$A$2:$A$6</c:f>
              <c:strCache>
                <c:ptCount val="4"/>
                <c:pt idx="0">
                  <c:v>Sun</c:v>
                </c:pt>
                <c:pt idx="1">
                  <c:v>Fri</c:v>
                </c:pt>
                <c:pt idx="2">
                  <c:v>Sat</c:v>
                </c:pt>
                <c:pt idx="3">
                  <c:v>Thur</c:v>
                </c:pt>
              </c:strCache>
            </c:strRef>
          </c:cat>
          <c:val>
            <c:numRef>
              <c:f>'Working Sheet'!$B$2:$B$6</c:f>
              <c:numCache>
                <c:formatCode>General</c:formatCode>
                <c:ptCount val="4"/>
                <c:pt idx="0">
                  <c:v>1627.1600000000003</c:v>
                </c:pt>
                <c:pt idx="1">
                  <c:v>325.87999999999994</c:v>
                </c:pt>
                <c:pt idx="2">
                  <c:v>1778.3999999999996</c:v>
                </c:pt>
                <c:pt idx="3">
                  <c:v>1083.3299999999997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95B-40CF-A2D6-34542AD2CD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45823279"/>
        <c:axId val="1345819919"/>
      </c:barChart>
      <c:catAx>
        <c:axId val="13458232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5819919"/>
        <c:crosses val="autoZero"/>
        <c:auto val="1"/>
        <c:lblAlgn val="ctr"/>
        <c:lblOffset val="100"/>
        <c:noMultiLvlLbl val="0"/>
      </c:catAx>
      <c:valAx>
        <c:axId val="13458199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58232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[Customer behaviour and tips prediction project (Recovered).xlsx]Working Sheet!PivotTable2</c:name>
    <c:fmtId val="5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'Working Sheet'!$E$1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'Working Sheet'!$D$2:$D$4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'Working Sheet'!$E$2:$E$4</c:f>
              <c:numCache>
                <c:formatCode>General</c:formatCode>
                <c:ptCount val="2"/>
                <c:pt idx="0">
                  <c:v>244.51</c:v>
                </c:pt>
                <c:pt idx="1">
                  <c:v>485.07000000000011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8A7-4A14-A52E-0620970C49A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345822799"/>
        <c:axId val="1345806479"/>
      </c:barChart>
      <c:catAx>
        <c:axId val="13458227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5806479"/>
        <c:crosses val="autoZero"/>
        <c:auto val="1"/>
        <c:lblAlgn val="ctr"/>
        <c:lblOffset val="100"/>
        <c:noMultiLvlLbl val="0"/>
      </c:catAx>
      <c:valAx>
        <c:axId val="1345806479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34582279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[Customer behaviour and tips prediction project (Recovered).xlsx]Working Sheet!PivotTable3</c:name>
    <c:fmtId val="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Tips By Smoking Status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'Working Sheet'!$H$2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'Working Sheet'!$G$3:$G$5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'Working Sheet'!$H$3:$H$5</c:f>
              <c:numCache>
                <c:formatCode>General</c:formatCode>
                <c:ptCount val="2"/>
                <c:pt idx="0">
                  <c:v>451.7700000000001</c:v>
                </c:pt>
                <c:pt idx="1">
                  <c:v>277.81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0FA-431C-9632-0F03DC5B408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453971455"/>
        <c:axId val="1453970495"/>
      </c:barChart>
      <c:catAx>
        <c:axId val="14539714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3970495"/>
        <c:crosses val="autoZero"/>
        <c:auto val="1"/>
        <c:lblAlgn val="ctr"/>
        <c:lblOffset val="100"/>
        <c:noMultiLvlLbl val="0"/>
      </c:catAx>
      <c:valAx>
        <c:axId val="1453970495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45397145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[Customer behaviour and tips prediction project (Recovered).xlsx]Working Sheet!PivotTable4</c:name>
    <c:fmtId val="16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'Working Sheet'!$L$1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'Working Sheet'!$K$2:$K$4</c:f>
              <c:strCache>
                <c:ptCount val="2"/>
                <c:pt idx="0">
                  <c:v>Dinner</c:v>
                </c:pt>
                <c:pt idx="1">
                  <c:v>Lunch</c:v>
                </c:pt>
              </c:strCache>
            </c:strRef>
          </c:cat>
          <c:val>
            <c:numRef>
              <c:f>'Working Sheet'!$L$2:$L$4</c:f>
              <c:numCache>
                <c:formatCode>General</c:formatCode>
                <c:ptCount val="2"/>
                <c:pt idx="0">
                  <c:v>3660.3000000000015</c:v>
                </c:pt>
                <c:pt idx="1">
                  <c:v>1154.4699999999998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586-4E42-900B-4C7FEA54514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453999295"/>
        <c:axId val="1453991135"/>
      </c:barChart>
      <c:catAx>
        <c:axId val="145399929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3991135"/>
        <c:crosses val="autoZero"/>
        <c:auto val="1"/>
        <c:lblAlgn val="ctr"/>
        <c:lblOffset val="100"/>
        <c:noMultiLvlLbl val="0"/>
      </c:catAx>
      <c:valAx>
        <c:axId val="1453991135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4539992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[Customer behaviour and tips prediction project (Recovered).xlsx]Working Sheet!PivotTable2</c:name>
    <c:fmtId val="1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2160" b="0" i="0" u="none" strike="noStrike" kern="1200" spc="0" baseline="0">
                <a:ln>
                  <a:noFill/>
                </a:ln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Tips By Gender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2160" b="0" i="0" u="none" strike="noStrike" kern="1200" spc="0" baseline="0">
              <a:ln>
                <a:noFill/>
              </a:ln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ln>
                    <a:noFill/>
                  </a:ln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ln>
                    <a:noFill/>
                  </a:ln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en-US" sz="1800" b="0" i="0" u="none" strike="noStrike" kern="1200" baseline="0">
                  <a:ln>
                    <a:noFill/>
                  </a:ln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'Working Sheet'!$E$1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lang="en-US" sz="1800" b="0" i="0" u="none" strike="noStrike" kern="1200" baseline="0">
                    <a:ln>
                      <a:noFill/>
                    </a:ln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'Working Sheet'!$D$2:$D$4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'Working Sheet'!$E$2:$E$4</c:f>
              <c:numCache>
                <c:formatCode>General</c:formatCode>
                <c:ptCount val="2"/>
                <c:pt idx="0">
                  <c:v>244.51</c:v>
                </c:pt>
                <c:pt idx="1">
                  <c:v>485.07000000000011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C45-486C-9D9E-D559180590A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345822799"/>
        <c:axId val="1345806479"/>
      </c:barChart>
      <c:catAx>
        <c:axId val="13458227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accent3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 algn="ctr">
              <a:defRPr lang="en-US" sz="1800" b="0" i="0" u="none" strike="noStrike" kern="1200" baseline="0">
                <a:ln>
                  <a:noFill/>
                </a:ln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5806479"/>
        <c:crosses val="autoZero"/>
        <c:auto val="1"/>
        <c:lblAlgn val="ctr"/>
        <c:lblOffset val="100"/>
        <c:noMultiLvlLbl val="0"/>
      </c:catAx>
      <c:valAx>
        <c:axId val="1345806479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34582279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>
      <a:gsLst>
        <a:gs pos="0">
          <a:schemeClr val="accent1">
            <a:lumMod val="5000"/>
            <a:lumOff val="95000"/>
          </a:schemeClr>
        </a:gs>
        <a:gs pos="74000">
          <a:schemeClr val="accent1">
            <a:lumMod val="45000"/>
            <a:lumOff val="55000"/>
          </a:schemeClr>
        </a:gs>
        <a:gs pos="83000">
          <a:schemeClr val="accent1">
            <a:lumMod val="45000"/>
            <a:lumOff val="55000"/>
          </a:schemeClr>
        </a:gs>
        <a:gs pos="100000">
          <a:schemeClr val="accent1">
            <a:lumMod val="30000"/>
            <a:lumOff val="70000"/>
          </a:schemeClr>
        </a:gs>
      </a:gsLst>
      <a:lin ang="5400000" scaled="1"/>
    </a:gra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 algn="ctr">
        <a:defRPr lang="en-US" sz="1800" b="0" i="0" u="none" strike="noStrike" kern="1200" baseline="0">
          <a:ln>
            <a:noFill/>
          </a:ln>
          <a:solidFill>
            <a:schemeClr val="tx1">
              <a:lumMod val="65000"/>
              <a:lumOff val="35000"/>
            </a:schemeClr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[Customer behaviour and tips prediction project (Recovered).xlsx]Working Sheet!PivotTable4</c:name>
    <c:fmtId val="1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000"/>
              <a:t>Revenue By time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8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'Working Sheet'!$L$1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'Working Sheet'!$K$2:$K$4</c:f>
              <c:strCache>
                <c:ptCount val="2"/>
                <c:pt idx="0">
                  <c:v>Dinner</c:v>
                </c:pt>
                <c:pt idx="1">
                  <c:v>Lunch</c:v>
                </c:pt>
              </c:strCache>
            </c:strRef>
          </c:cat>
          <c:val>
            <c:numRef>
              <c:f>'Working Sheet'!$L$2:$L$4</c:f>
              <c:numCache>
                <c:formatCode>General</c:formatCode>
                <c:ptCount val="2"/>
                <c:pt idx="0">
                  <c:v>3660.3000000000015</c:v>
                </c:pt>
                <c:pt idx="1">
                  <c:v>1154.4699999999998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1DB-4F05-BB33-A211BA8095E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453999295"/>
        <c:axId val="1453991135"/>
      </c:barChart>
      <c:catAx>
        <c:axId val="145399929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2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 algn="ctr">
              <a:defRPr lang="en-US" sz="1800" b="0" i="0" u="none" strike="noStrike" kern="1200" baseline="0">
                <a:ln>
                  <a:noFill/>
                </a:ln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3991135"/>
        <c:crosses val="autoZero"/>
        <c:auto val="1"/>
        <c:lblAlgn val="ctr"/>
        <c:lblOffset val="100"/>
        <c:noMultiLvlLbl val="0"/>
      </c:catAx>
      <c:valAx>
        <c:axId val="1453991135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453999295"/>
        <c:crosses val="autoZero"/>
        <c:crossBetween val="between"/>
      </c:valAx>
      <c:spPr>
        <a:noFill/>
        <a:ln>
          <a:solidFill>
            <a:schemeClr val="accent3">
              <a:alpha val="93000"/>
            </a:schemeClr>
          </a:solidFill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>
      <a:gsLst>
        <a:gs pos="0">
          <a:schemeClr val="accent1">
            <a:lumMod val="5000"/>
            <a:lumOff val="95000"/>
          </a:schemeClr>
        </a:gs>
        <a:gs pos="74000">
          <a:schemeClr val="accent1">
            <a:lumMod val="45000"/>
            <a:lumOff val="55000"/>
          </a:schemeClr>
        </a:gs>
        <a:gs pos="83000">
          <a:schemeClr val="accent1">
            <a:lumMod val="45000"/>
            <a:lumOff val="55000"/>
          </a:schemeClr>
        </a:gs>
        <a:gs pos="100000">
          <a:schemeClr val="accent1">
            <a:lumMod val="30000"/>
            <a:lumOff val="70000"/>
          </a:schemeClr>
        </a:gs>
      </a:gsLst>
      <a:lin ang="5400000" scaled="1"/>
    </a:gra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[Customer behaviour and tips prediction project (Recovered).xlsx]Working Sheet!PivotTable3</c:name>
    <c:fmtId val="2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080" b="0" i="0" u="none" strike="noStrike" kern="1200" spc="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Tips By Smoking Status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080" b="0" i="0" u="none" strike="noStrike" kern="1200" spc="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en-US"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'Working Sheet'!$H$2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lang="en-US"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'Working Sheet'!$G$3:$G$5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'Working Sheet'!$H$3:$H$5</c:f>
              <c:numCache>
                <c:formatCode>General</c:formatCode>
                <c:ptCount val="2"/>
                <c:pt idx="0">
                  <c:v>451.7700000000001</c:v>
                </c:pt>
                <c:pt idx="1">
                  <c:v>277.81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1B-41CC-B272-DD2910533FF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453971455"/>
        <c:axId val="1453970495"/>
      </c:barChart>
      <c:catAx>
        <c:axId val="14539714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accent3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6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3970495"/>
        <c:crosses val="autoZero"/>
        <c:auto val="1"/>
        <c:lblAlgn val="ctr"/>
        <c:lblOffset val="100"/>
        <c:noMultiLvlLbl val="0"/>
      </c:catAx>
      <c:valAx>
        <c:axId val="1453970495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45397145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>
      <a:gsLst>
        <a:gs pos="0">
          <a:schemeClr val="accent1">
            <a:lumMod val="5000"/>
            <a:lumOff val="95000"/>
          </a:schemeClr>
        </a:gs>
        <a:gs pos="74000">
          <a:schemeClr val="accent1">
            <a:lumMod val="45000"/>
            <a:lumOff val="55000"/>
          </a:schemeClr>
        </a:gs>
        <a:gs pos="83000">
          <a:schemeClr val="accent1">
            <a:lumMod val="45000"/>
            <a:lumOff val="55000"/>
          </a:schemeClr>
        </a:gs>
        <a:gs pos="100000">
          <a:schemeClr val="accent1">
            <a:lumMod val="30000"/>
            <a:lumOff val="70000"/>
          </a:schemeClr>
        </a:gs>
      </a:gsLst>
      <a:lin ang="5400000" scaled="1"/>
    </a:gra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 sz="900" b="0" i="0" u="none" strike="noStrike" kern="1200" baseline="0">
          <a:solidFill>
            <a:schemeClr val="tx2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000"/>
              <a:t>Customer</a:t>
            </a:r>
            <a:r>
              <a:rPr lang="en-US" sz="2000" baseline="0"/>
              <a:t> Distribution By segment</a:t>
            </a:r>
          </a:p>
        </c:rich>
      </c:tx>
      <c:layout>
        <c:manualLayout>
          <c:xMode val="edge"/>
          <c:yMode val="edge"/>
          <c:x val="0.22186462451957464"/>
          <c:y val="3.094523059679217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2"/>
          <c:order val="7"/>
          <c:tx>
            <c:v>Count of coustomer</c:v>
          </c:tx>
          <c:explosion val="15"/>
          <c:dPt>
            <c:idx val="0"/>
            <c:bubble3D val="0"/>
            <c:explosion val="14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1-5110-4E59-AFF4-9EB6218462F8}"/>
              </c:ext>
            </c:extLst>
          </c:dPt>
          <c:dPt>
            <c:idx val="1"/>
            <c:bubble3D val="0"/>
            <c:explosion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3-5110-4E59-AFF4-9EB6218462F8}"/>
              </c:ext>
            </c:extLst>
          </c:dPt>
          <c:dPt>
            <c:idx val="2"/>
            <c:bubble3D val="0"/>
            <c:explosion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5-5110-4E59-AFF4-9EB6218462F8}"/>
              </c:ext>
            </c:extLst>
          </c:dPt>
          <c:dPt>
            <c:idx val="3"/>
            <c:bubble3D val="0"/>
            <c:explosion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7-5110-4E59-AFF4-9EB6218462F8}"/>
              </c:ext>
            </c:extLst>
          </c:dPt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multiLvlStrRef>
              <c:f>DashBoard!$C$22:$D$25</c:f>
              <c:multiLvlStrCache>
                <c:ptCount val="4"/>
                <c:lvl>
                  <c:pt idx="0">
                    <c:v>15$-25$</c:v>
                  </c:pt>
                  <c:pt idx="1">
                    <c:v>&lt;15$</c:v>
                  </c:pt>
                  <c:pt idx="2">
                    <c:v>26$-35$</c:v>
                  </c:pt>
                  <c:pt idx="3">
                    <c:v>&gt;35$</c:v>
                  </c:pt>
                </c:lvl>
                <c:lvl>
                  <c:pt idx="0">
                    <c:v>Medium</c:v>
                  </c:pt>
                  <c:pt idx="1">
                    <c:v>Low</c:v>
                  </c:pt>
                  <c:pt idx="2">
                    <c:v>High</c:v>
                  </c:pt>
                  <c:pt idx="3">
                    <c:v>Premium</c:v>
                  </c:pt>
                </c:lvl>
              </c:multiLvlStrCache>
            </c:multiLvlStrRef>
          </c:cat>
          <c:val>
            <c:numRef>
              <c:f>DashBoard!$E$22:$E$25</c:f>
              <c:numCache>
                <c:formatCode>General</c:formatCode>
                <c:ptCount val="4"/>
                <c:pt idx="0">
                  <c:v>108</c:v>
                </c:pt>
                <c:pt idx="1">
                  <c:v>79</c:v>
                </c:pt>
                <c:pt idx="2">
                  <c:v>39</c:v>
                </c:pt>
                <c:pt idx="3">
                  <c:v>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5110-4E59-AFF4-9EB6218462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extLst>
          <c:ext xmlns:c15="http://schemas.microsoft.com/office/drawing/2012/chart" uri="{02D57815-91ED-43cb-92C2-25804820EDAC}">
            <c15:filteredPi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DashBoard!$C$21</c15:sqref>
                        </c15:formulaRef>
                      </c:ext>
                    </c:extLst>
                    <c:strCache>
                      <c:ptCount val="1"/>
                      <c:pt idx="0">
                        <c:v>Segment</c:v>
                      </c:pt>
                    </c:strCache>
                  </c:strRef>
                </c:tx>
                <c:dPt>
                  <c:idx val="0"/>
                  <c:bubble3D val="0"/>
                  <c:spPr>
                    <a:gradFill rotWithShape="1">
                      <a:gsLst>
                        <a:gs pos="0">
                          <a:schemeClr val="accent1"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1"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1"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  <a:sp3d/>
                  </c:spPr>
                  <c:extLst>
                    <c:ext xmlns:c16="http://schemas.microsoft.com/office/drawing/2014/chart" uri="{C3380CC4-5D6E-409C-BE32-E72D297353CC}">
                      <c16:uniqueId val="{0000000A-5110-4E59-AFF4-9EB6218462F8}"/>
                    </c:ext>
                  </c:extLst>
                </c:dPt>
                <c:dPt>
                  <c:idx val="1"/>
                  <c:bubble3D val="0"/>
                  <c:spPr>
                    <a:gradFill rotWithShape="1">
                      <a:gsLst>
                        <a:gs pos="0">
                          <a:schemeClr val="accent2"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2"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2"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  <a:sp3d/>
                  </c:spPr>
                  <c:extLst>
                    <c:ext xmlns:c16="http://schemas.microsoft.com/office/drawing/2014/chart" uri="{C3380CC4-5D6E-409C-BE32-E72D297353CC}">
                      <c16:uniqueId val="{0000000C-5110-4E59-AFF4-9EB6218462F8}"/>
                    </c:ext>
                  </c:extLst>
                </c:dPt>
                <c:dPt>
                  <c:idx val="2"/>
                  <c:bubble3D val="0"/>
                  <c:spPr>
                    <a:gradFill rotWithShape="1">
                      <a:gsLst>
                        <a:gs pos="0">
                          <a:schemeClr val="accent3"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3"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3"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  <a:sp3d/>
                  </c:spPr>
                  <c:extLst>
                    <c:ext xmlns:c16="http://schemas.microsoft.com/office/drawing/2014/chart" uri="{C3380CC4-5D6E-409C-BE32-E72D297353CC}">
                      <c16:uniqueId val="{0000000E-5110-4E59-AFF4-9EB6218462F8}"/>
                    </c:ext>
                  </c:extLst>
                </c:dPt>
                <c:dPt>
                  <c:idx val="3"/>
                  <c:bubble3D val="0"/>
                  <c:spPr>
                    <a:gradFill rotWithShape="1">
                      <a:gsLst>
                        <a:gs pos="0">
                          <a:schemeClr val="accent4"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4"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4"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  <a:sp3d/>
                  </c:spPr>
                  <c:extLst>
                    <c:ext xmlns:c16="http://schemas.microsoft.com/office/drawing/2014/chart" uri="{C3380CC4-5D6E-409C-BE32-E72D297353CC}">
                      <c16:uniqueId val="{00000010-5110-4E59-AFF4-9EB6218462F8}"/>
                    </c:ext>
                  </c:extLst>
                </c:dPt>
                <c:dLbls>
                  <c:spPr>
                    <a:solidFill>
                      <a:schemeClr val="lt1"/>
                    </a:solidFill>
                    <a:ln>
                      <a:solidFill>
                        <a:schemeClr val="dk1">
                          <a:lumMod val="25000"/>
                          <a:lumOff val="75000"/>
                        </a:schemeClr>
                      </a:solidFill>
                    </a:ln>
                    <a:effectLst/>
                  </c:spPr>
                  <c:txPr>
                    <a:bodyPr rot="0" spcFirstLastPara="1" vertOverflow="clip" horzOverflow="clip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dk1">
                              <a:lumMod val="65000"/>
                              <a:lumOff val="3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0"/>
                  <c:showCatName val="1"/>
                  <c:showSerName val="0"/>
                  <c:showPercent val="1"/>
                  <c:showBubbleSize val="0"/>
                  <c:showLeaderLines val="0"/>
                  <c:extLst>
                    <c:ext uri="{CE6537A1-D6FC-4f65-9D91-7224C49458BB}">
                      <c15:spPr xmlns:c15="http://schemas.microsoft.com/office/drawing/2012/chart">
                        <a:prstGeom prst="wedgeRectCallout">
                          <a:avLst/>
                        </a:prstGeom>
                        <a:noFill/>
                        <a:ln>
                          <a:noFill/>
                        </a:ln>
                      </c15:spPr>
                    </c:ext>
                  </c:extLst>
                </c:dLbls>
                <c:cat>
                  <c:multiLvlStrRef>
                    <c:extLst>
                      <c:ext uri="{02D57815-91ED-43cb-92C2-25804820EDAC}">
                        <c15:formulaRef>
                          <c15:sqref>DashBoard!$C$22:$D$25</c15:sqref>
                        </c15:formulaRef>
                      </c:ext>
                    </c:extLst>
                    <c:multiLvlStrCache>
                      <c:ptCount val="4"/>
                      <c:lvl>
                        <c:pt idx="0">
                          <c:v>15$-25$</c:v>
                        </c:pt>
                        <c:pt idx="1">
                          <c:v>&lt;15$</c:v>
                        </c:pt>
                        <c:pt idx="2">
                          <c:v>26$-35$</c:v>
                        </c:pt>
                        <c:pt idx="3">
                          <c:v>&gt;35$</c:v>
                        </c:pt>
                      </c:lvl>
                      <c:lvl>
                        <c:pt idx="0">
                          <c:v>Medium</c:v>
                        </c:pt>
                        <c:pt idx="1">
                          <c:v>Low</c:v>
                        </c:pt>
                        <c:pt idx="2">
                          <c:v>High</c:v>
                        </c:pt>
                        <c:pt idx="3">
                          <c:v>Premium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uri="{02D57815-91ED-43cb-92C2-25804820EDAC}">
                        <c15:formulaRef>
                          <c15:sqref>DashBoard!$C$22:$C$25</c15:sqref>
                        </c15:formulaRef>
                      </c:ext>
                    </c:extLst>
                    <c:numCache>
                      <c:formatCode>General</c:formatCode>
                      <c:ptCount val="4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11-5110-4E59-AFF4-9EB6218462F8}"/>
                  </c:ext>
                </c:extLst>
              </c15:ser>
            </c15:filteredPieSeries>
            <c15:filteredPi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DashBoard!$D$21</c15:sqref>
                        </c15:formulaRef>
                      </c:ext>
                    </c:extLst>
                    <c:strCache>
                      <c:ptCount val="1"/>
                      <c:pt idx="0">
                        <c:v>Range</c:v>
                      </c:pt>
                    </c:strCache>
                  </c:strRef>
                </c:tx>
                <c:dPt>
                  <c:idx val="0"/>
                  <c:bubble3D val="0"/>
                  <c:spPr>
                    <a:gradFill rotWithShape="1">
                      <a:gsLst>
                        <a:gs pos="0">
                          <a:schemeClr val="accent1"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1"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1"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  <a:sp3d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3-5110-4E59-AFF4-9EB6218462F8}"/>
                    </c:ext>
                  </c:extLst>
                </c:dPt>
                <c:dPt>
                  <c:idx val="1"/>
                  <c:bubble3D val="0"/>
                  <c:spPr>
                    <a:gradFill rotWithShape="1">
                      <a:gsLst>
                        <a:gs pos="0">
                          <a:schemeClr val="accent2"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2"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2"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  <a:sp3d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5-5110-4E59-AFF4-9EB6218462F8}"/>
                    </c:ext>
                  </c:extLst>
                </c:dPt>
                <c:dPt>
                  <c:idx val="2"/>
                  <c:bubble3D val="0"/>
                  <c:spPr>
                    <a:gradFill rotWithShape="1">
                      <a:gsLst>
                        <a:gs pos="0">
                          <a:schemeClr val="accent3"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3"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3"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  <a:sp3d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7-5110-4E59-AFF4-9EB6218462F8}"/>
                    </c:ext>
                  </c:extLst>
                </c:dPt>
                <c:dPt>
                  <c:idx val="3"/>
                  <c:bubble3D val="0"/>
                  <c:spPr>
                    <a:gradFill rotWithShape="1">
                      <a:gsLst>
                        <a:gs pos="0">
                          <a:schemeClr val="accent4"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4"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4"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  <a:sp3d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9-5110-4E59-AFF4-9EB6218462F8}"/>
                    </c:ext>
                  </c:extLst>
                </c:dPt>
                <c:dLbls>
                  <c:spPr>
                    <a:solidFill>
                      <a:schemeClr val="lt1"/>
                    </a:solidFill>
                    <a:ln>
                      <a:solidFill>
                        <a:schemeClr val="dk1">
                          <a:lumMod val="25000"/>
                          <a:lumOff val="75000"/>
                        </a:schemeClr>
                      </a:solidFill>
                    </a:ln>
                    <a:effectLst/>
                  </c:spPr>
                  <c:txPr>
                    <a:bodyPr rot="0" spcFirstLastPara="1" vertOverflow="clip" horzOverflow="clip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dk1">
                              <a:lumMod val="65000"/>
                              <a:lumOff val="3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0"/>
                  <c:showCatName val="1"/>
                  <c:showSerName val="0"/>
                  <c:showPercent val="1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pPr xmlns:c15="http://schemas.microsoft.com/office/drawing/2012/chart">
                        <a:prstGeom prst="wedgeRectCallout">
                          <a:avLst/>
                        </a:prstGeom>
                        <a:noFill/>
                        <a:ln>
                          <a:noFill/>
                        </a:ln>
                      </c15:spPr>
                    </c:ext>
                  </c:extLst>
                </c:dLbls>
                <c:cat>
                  <c:multiLvl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DashBoard!$C$22:$D$25</c15:sqref>
                        </c15:formulaRef>
                      </c:ext>
                    </c:extLst>
                    <c:multiLvlStrCache>
                      <c:ptCount val="4"/>
                      <c:lvl>
                        <c:pt idx="0">
                          <c:v>15$-25$</c:v>
                        </c:pt>
                        <c:pt idx="1">
                          <c:v>&lt;15$</c:v>
                        </c:pt>
                        <c:pt idx="2">
                          <c:v>26$-35$</c:v>
                        </c:pt>
                        <c:pt idx="3">
                          <c:v>&gt;35$</c:v>
                        </c:pt>
                      </c:lvl>
                      <c:lvl>
                        <c:pt idx="0">
                          <c:v>Medium</c:v>
                        </c:pt>
                        <c:pt idx="1">
                          <c:v>Low</c:v>
                        </c:pt>
                        <c:pt idx="2">
                          <c:v>High</c:v>
                        </c:pt>
                        <c:pt idx="3">
                          <c:v>Premium</c:v>
                        </c:pt>
                      </c:lvl>
                    </c:multiLvlStrCache>
                  </c:multiLvl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DashBoard!$D$22:$D$25</c15:sqref>
                        </c15:formulaRef>
                      </c:ext>
                    </c:extLst>
                    <c:numCache>
                      <c:formatCode>General</c:formatCode>
                      <c:ptCount val="4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A-5110-4E59-AFF4-9EB6218462F8}"/>
                  </c:ext>
                </c:extLst>
              </c15:ser>
            </c15:filteredPieSeries>
            <c15:filteredPieSeries>
              <c15:ser>
                <c:idx val="3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DashBoard!$F$21</c15:sqref>
                        </c15:formulaRef>
                      </c:ext>
                    </c:extLst>
                    <c:strCache>
                      <c:ptCount val="1"/>
                      <c:pt idx="0">
                        <c:v>Customer Segment %</c:v>
                      </c:pt>
                    </c:strCache>
                  </c:strRef>
                </c:tx>
                <c:dPt>
                  <c:idx val="0"/>
                  <c:bubble3D val="0"/>
                  <c:spPr>
                    <a:gradFill rotWithShape="1">
                      <a:gsLst>
                        <a:gs pos="0">
                          <a:schemeClr val="accent1"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1"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1"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  <a:sp3d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C-5110-4E59-AFF4-9EB6218462F8}"/>
                    </c:ext>
                  </c:extLst>
                </c:dPt>
                <c:dPt>
                  <c:idx val="1"/>
                  <c:bubble3D val="0"/>
                  <c:spPr>
                    <a:gradFill rotWithShape="1">
                      <a:gsLst>
                        <a:gs pos="0">
                          <a:schemeClr val="accent2"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2"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2"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  <a:sp3d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E-5110-4E59-AFF4-9EB6218462F8}"/>
                    </c:ext>
                  </c:extLst>
                </c:dPt>
                <c:dPt>
                  <c:idx val="2"/>
                  <c:bubble3D val="0"/>
                  <c:spPr>
                    <a:gradFill rotWithShape="1">
                      <a:gsLst>
                        <a:gs pos="0">
                          <a:schemeClr val="accent3"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3"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3"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  <a:sp3d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20-5110-4E59-AFF4-9EB6218462F8}"/>
                    </c:ext>
                  </c:extLst>
                </c:dPt>
                <c:dPt>
                  <c:idx val="3"/>
                  <c:bubble3D val="0"/>
                  <c:spPr>
                    <a:gradFill rotWithShape="1">
                      <a:gsLst>
                        <a:gs pos="0">
                          <a:schemeClr val="accent4"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4"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4"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  <a:sp3d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22-5110-4E59-AFF4-9EB6218462F8}"/>
                    </c:ext>
                  </c:extLst>
                </c:dPt>
                <c:dLbls>
                  <c:spPr>
                    <a:solidFill>
                      <a:schemeClr val="lt1"/>
                    </a:solidFill>
                    <a:ln>
                      <a:solidFill>
                        <a:schemeClr val="dk1">
                          <a:lumMod val="25000"/>
                          <a:lumOff val="75000"/>
                        </a:schemeClr>
                      </a:solidFill>
                    </a:ln>
                    <a:effectLst/>
                  </c:spPr>
                  <c:txPr>
                    <a:bodyPr rot="0" spcFirstLastPara="1" vertOverflow="clip" horzOverflow="clip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dk1">
                              <a:lumMod val="65000"/>
                              <a:lumOff val="3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0"/>
                  <c:showCatName val="1"/>
                  <c:showSerName val="0"/>
                  <c:showPercent val="1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pPr xmlns:c15="http://schemas.microsoft.com/office/drawing/2012/chart">
                        <a:prstGeom prst="wedgeRectCallout">
                          <a:avLst/>
                        </a:prstGeom>
                        <a:noFill/>
                        <a:ln>
                          <a:noFill/>
                        </a:ln>
                      </c15:spPr>
                    </c:ext>
                  </c:extLst>
                </c:dLbls>
                <c:cat>
                  <c:multiLvl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DashBoard!$C$22:$D$25</c15:sqref>
                        </c15:formulaRef>
                      </c:ext>
                    </c:extLst>
                    <c:multiLvlStrCache>
                      <c:ptCount val="4"/>
                      <c:lvl>
                        <c:pt idx="0">
                          <c:v>15$-25$</c:v>
                        </c:pt>
                        <c:pt idx="1">
                          <c:v>&lt;15$</c:v>
                        </c:pt>
                        <c:pt idx="2">
                          <c:v>26$-35$</c:v>
                        </c:pt>
                        <c:pt idx="3">
                          <c:v>&gt;35$</c:v>
                        </c:pt>
                      </c:lvl>
                      <c:lvl>
                        <c:pt idx="0">
                          <c:v>Medium</c:v>
                        </c:pt>
                        <c:pt idx="1">
                          <c:v>Low</c:v>
                        </c:pt>
                        <c:pt idx="2">
                          <c:v>High</c:v>
                        </c:pt>
                        <c:pt idx="3">
                          <c:v>Premium</c:v>
                        </c:pt>
                      </c:lvl>
                    </c:multiLvlStrCache>
                  </c:multiLvl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DashBoard!$F$22:$F$25</c15:sqref>
                        </c15:formulaRef>
                      </c:ext>
                    </c:extLst>
                    <c:numCache>
                      <c:formatCode>0%</c:formatCode>
                      <c:ptCount val="4"/>
                      <c:pt idx="0">
                        <c:v>0.4462809917355372</c:v>
                      </c:pt>
                      <c:pt idx="1">
                        <c:v>0.32644628099173556</c:v>
                      </c:pt>
                      <c:pt idx="2">
                        <c:v>0.16115702479338842</c:v>
                      </c:pt>
                      <c:pt idx="3">
                        <c:v>6.6115702479338845E-2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23-5110-4E59-AFF4-9EB6218462F8}"/>
                  </c:ext>
                </c:extLst>
              </c15:ser>
            </c15:filteredPieSeries>
            <c15:filteredPieSeries>
              <c15:ser>
                <c:idx val="4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DashBoard!$G$21</c15:sqref>
                        </c15:formulaRef>
                      </c:ext>
                    </c:extLst>
                    <c:strCache>
                      <c:ptCount val="1"/>
                      <c:pt idx="0">
                        <c:v>Avg Bill</c:v>
                      </c:pt>
                    </c:strCache>
                  </c:strRef>
                </c:tx>
                <c:dPt>
                  <c:idx val="0"/>
                  <c:bubble3D val="0"/>
                  <c:spPr>
                    <a:gradFill rotWithShape="1">
                      <a:gsLst>
                        <a:gs pos="0">
                          <a:schemeClr val="accent1"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1"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1"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  <a:sp3d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25-5110-4E59-AFF4-9EB6218462F8}"/>
                    </c:ext>
                  </c:extLst>
                </c:dPt>
                <c:dPt>
                  <c:idx val="1"/>
                  <c:bubble3D val="0"/>
                  <c:spPr>
                    <a:gradFill rotWithShape="1">
                      <a:gsLst>
                        <a:gs pos="0">
                          <a:schemeClr val="accent2"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2"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2"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  <a:sp3d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27-5110-4E59-AFF4-9EB6218462F8}"/>
                    </c:ext>
                  </c:extLst>
                </c:dPt>
                <c:dPt>
                  <c:idx val="2"/>
                  <c:bubble3D val="0"/>
                  <c:spPr>
                    <a:gradFill rotWithShape="1">
                      <a:gsLst>
                        <a:gs pos="0">
                          <a:schemeClr val="accent3"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3"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3"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  <a:sp3d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29-5110-4E59-AFF4-9EB6218462F8}"/>
                    </c:ext>
                  </c:extLst>
                </c:dPt>
                <c:dPt>
                  <c:idx val="3"/>
                  <c:bubble3D val="0"/>
                  <c:spPr>
                    <a:gradFill rotWithShape="1">
                      <a:gsLst>
                        <a:gs pos="0">
                          <a:schemeClr val="accent4"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4"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4"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  <a:sp3d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2B-5110-4E59-AFF4-9EB6218462F8}"/>
                    </c:ext>
                  </c:extLst>
                </c:dPt>
                <c:dLbls>
                  <c:spPr>
                    <a:solidFill>
                      <a:schemeClr val="lt1"/>
                    </a:solidFill>
                    <a:ln>
                      <a:solidFill>
                        <a:schemeClr val="dk1">
                          <a:lumMod val="25000"/>
                          <a:lumOff val="75000"/>
                        </a:schemeClr>
                      </a:solidFill>
                    </a:ln>
                    <a:effectLst/>
                  </c:spPr>
                  <c:txPr>
                    <a:bodyPr rot="0" spcFirstLastPara="1" vertOverflow="clip" horzOverflow="clip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dk1">
                              <a:lumMod val="65000"/>
                              <a:lumOff val="3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0"/>
                  <c:showCatName val="1"/>
                  <c:showSerName val="0"/>
                  <c:showPercent val="1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pPr xmlns:c15="http://schemas.microsoft.com/office/drawing/2012/chart">
                        <a:prstGeom prst="wedgeRectCallout">
                          <a:avLst/>
                        </a:prstGeom>
                        <a:noFill/>
                        <a:ln>
                          <a:noFill/>
                        </a:ln>
                      </c15:spPr>
                    </c:ext>
                  </c:extLst>
                </c:dLbls>
                <c:cat>
                  <c:multiLvl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DashBoard!$C$22:$D$25</c15:sqref>
                        </c15:formulaRef>
                      </c:ext>
                    </c:extLst>
                    <c:multiLvlStrCache>
                      <c:ptCount val="4"/>
                      <c:lvl>
                        <c:pt idx="0">
                          <c:v>15$-25$</c:v>
                        </c:pt>
                        <c:pt idx="1">
                          <c:v>&lt;15$</c:v>
                        </c:pt>
                        <c:pt idx="2">
                          <c:v>26$-35$</c:v>
                        </c:pt>
                        <c:pt idx="3">
                          <c:v>&gt;35$</c:v>
                        </c:pt>
                      </c:lvl>
                      <c:lvl>
                        <c:pt idx="0">
                          <c:v>Medium</c:v>
                        </c:pt>
                        <c:pt idx="1">
                          <c:v>Low</c:v>
                        </c:pt>
                        <c:pt idx="2">
                          <c:v>High</c:v>
                        </c:pt>
                        <c:pt idx="3">
                          <c:v>Premium</c:v>
                        </c:pt>
                      </c:lvl>
                    </c:multiLvlStrCache>
                  </c:multiLvl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DashBoard!$G$22:$G$25</c15:sqref>
                        </c15:formulaRef>
                      </c:ext>
                    </c:extLst>
                    <c:numCache>
                      <c:formatCode>0.00</c:formatCode>
                      <c:ptCount val="4"/>
                      <c:pt idx="0">
                        <c:v>19.070092592592591</c:v>
                      </c:pt>
                      <c:pt idx="1">
                        <c:v>11.461139240506325</c:v>
                      </c:pt>
                      <c:pt idx="2">
                        <c:v>29.325526315789471</c:v>
                      </c:pt>
                      <c:pt idx="3">
                        <c:v>42.22312500000001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2C-5110-4E59-AFF4-9EB6218462F8}"/>
                  </c:ext>
                </c:extLst>
              </c15:ser>
            </c15:filteredPieSeries>
            <c15:filteredPieSeries>
              <c15:ser>
                <c:idx val="5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DashBoard!$H$21</c15:sqref>
                        </c15:formulaRef>
                      </c:ext>
                    </c:extLst>
                    <c:strCache>
                      <c:ptCount val="1"/>
                      <c:pt idx="0">
                        <c:v>Avg Tip</c:v>
                      </c:pt>
                    </c:strCache>
                  </c:strRef>
                </c:tx>
                <c:dPt>
                  <c:idx val="0"/>
                  <c:bubble3D val="0"/>
                  <c:spPr>
                    <a:gradFill rotWithShape="1">
                      <a:gsLst>
                        <a:gs pos="0">
                          <a:schemeClr val="accent1"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1"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1"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  <a:sp3d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2E-5110-4E59-AFF4-9EB6218462F8}"/>
                    </c:ext>
                  </c:extLst>
                </c:dPt>
                <c:dPt>
                  <c:idx val="1"/>
                  <c:bubble3D val="0"/>
                  <c:spPr>
                    <a:gradFill rotWithShape="1">
                      <a:gsLst>
                        <a:gs pos="0">
                          <a:schemeClr val="accent2"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2"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2"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  <a:sp3d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30-5110-4E59-AFF4-9EB6218462F8}"/>
                    </c:ext>
                  </c:extLst>
                </c:dPt>
                <c:dPt>
                  <c:idx val="2"/>
                  <c:bubble3D val="0"/>
                  <c:spPr>
                    <a:gradFill rotWithShape="1">
                      <a:gsLst>
                        <a:gs pos="0">
                          <a:schemeClr val="accent3"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3"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3"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  <a:sp3d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32-5110-4E59-AFF4-9EB6218462F8}"/>
                    </c:ext>
                  </c:extLst>
                </c:dPt>
                <c:dPt>
                  <c:idx val="3"/>
                  <c:bubble3D val="0"/>
                  <c:spPr>
                    <a:gradFill rotWithShape="1">
                      <a:gsLst>
                        <a:gs pos="0">
                          <a:schemeClr val="accent4"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4"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4"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  <a:sp3d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34-5110-4E59-AFF4-9EB6218462F8}"/>
                    </c:ext>
                  </c:extLst>
                </c:dPt>
                <c:dLbls>
                  <c:spPr>
                    <a:solidFill>
                      <a:schemeClr val="lt1"/>
                    </a:solidFill>
                    <a:ln>
                      <a:solidFill>
                        <a:schemeClr val="dk1">
                          <a:lumMod val="25000"/>
                          <a:lumOff val="75000"/>
                        </a:schemeClr>
                      </a:solidFill>
                    </a:ln>
                    <a:effectLst/>
                  </c:spPr>
                  <c:txPr>
                    <a:bodyPr rot="0" spcFirstLastPara="1" vertOverflow="clip" horzOverflow="clip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dk1">
                              <a:lumMod val="65000"/>
                              <a:lumOff val="3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0"/>
                  <c:showCatName val="1"/>
                  <c:showSerName val="0"/>
                  <c:showPercent val="1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pPr xmlns:c15="http://schemas.microsoft.com/office/drawing/2012/chart">
                        <a:prstGeom prst="wedgeRectCallout">
                          <a:avLst/>
                        </a:prstGeom>
                        <a:noFill/>
                        <a:ln>
                          <a:noFill/>
                        </a:ln>
                      </c15:spPr>
                    </c:ext>
                  </c:extLst>
                </c:dLbls>
                <c:cat>
                  <c:multiLvl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DashBoard!$C$22:$D$25</c15:sqref>
                        </c15:formulaRef>
                      </c:ext>
                    </c:extLst>
                    <c:multiLvlStrCache>
                      <c:ptCount val="4"/>
                      <c:lvl>
                        <c:pt idx="0">
                          <c:v>15$-25$</c:v>
                        </c:pt>
                        <c:pt idx="1">
                          <c:v>&lt;15$</c:v>
                        </c:pt>
                        <c:pt idx="2">
                          <c:v>26$-35$</c:v>
                        </c:pt>
                        <c:pt idx="3">
                          <c:v>&gt;35$</c:v>
                        </c:pt>
                      </c:lvl>
                      <c:lvl>
                        <c:pt idx="0">
                          <c:v>Medium</c:v>
                        </c:pt>
                        <c:pt idx="1">
                          <c:v>Low</c:v>
                        </c:pt>
                        <c:pt idx="2">
                          <c:v>High</c:v>
                        </c:pt>
                        <c:pt idx="3">
                          <c:v>Premium</c:v>
                        </c:pt>
                      </c:lvl>
                    </c:multiLvlStrCache>
                  </c:multiLvl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DashBoard!$H$22:$H$25</c15:sqref>
                        </c15:formulaRef>
                      </c:ext>
                    </c:extLst>
                    <c:numCache>
                      <c:formatCode>0.00</c:formatCode>
                      <c:ptCount val="4"/>
                      <c:pt idx="0">
                        <c:v>3.4607317073170742</c:v>
                      </c:pt>
                      <c:pt idx="1">
                        <c:v>2.050886075949367</c:v>
                      </c:pt>
                      <c:pt idx="2">
                        <c:v>4.2179629629629618</c:v>
                      </c:pt>
                      <c:pt idx="3">
                        <c:v>5.1068750000000005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35-5110-4E59-AFF4-9EB6218462F8}"/>
                  </c:ext>
                </c:extLst>
              </c15:ser>
            </c15:filteredPieSeries>
            <c15:filteredPieSeries>
              <c15:ser>
                <c:idx val="6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DashBoard!$I$21</c15:sqref>
                        </c15:formulaRef>
                      </c:ext>
                    </c:extLst>
                    <c:strCache>
                      <c:ptCount val="1"/>
                      <c:pt idx="0">
                        <c:v>Avg Tip%</c:v>
                      </c:pt>
                    </c:strCache>
                  </c:strRef>
                </c:tx>
                <c:dPt>
                  <c:idx val="0"/>
                  <c:bubble3D val="0"/>
                  <c:spPr>
                    <a:gradFill rotWithShape="1">
                      <a:gsLst>
                        <a:gs pos="0">
                          <a:schemeClr val="accent1"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1"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1"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  <a:sp3d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37-5110-4E59-AFF4-9EB6218462F8}"/>
                    </c:ext>
                  </c:extLst>
                </c:dPt>
                <c:dPt>
                  <c:idx val="1"/>
                  <c:bubble3D val="0"/>
                  <c:spPr>
                    <a:gradFill rotWithShape="1">
                      <a:gsLst>
                        <a:gs pos="0">
                          <a:schemeClr val="accent2"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2"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2"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  <a:sp3d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39-5110-4E59-AFF4-9EB6218462F8}"/>
                    </c:ext>
                  </c:extLst>
                </c:dPt>
                <c:dPt>
                  <c:idx val="2"/>
                  <c:bubble3D val="0"/>
                  <c:spPr>
                    <a:gradFill rotWithShape="1">
                      <a:gsLst>
                        <a:gs pos="0">
                          <a:schemeClr val="accent3"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3"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3"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  <a:sp3d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3B-5110-4E59-AFF4-9EB6218462F8}"/>
                    </c:ext>
                  </c:extLst>
                </c:dPt>
                <c:dPt>
                  <c:idx val="3"/>
                  <c:bubble3D val="0"/>
                  <c:spPr>
                    <a:gradFill rotWithShape="1">
                      <a:gsLst>
                        <a:gs pos="0">
                          <a:schemeClr val="accent4"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4"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4"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  <a:sp3d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3D-5110-4E59-AFF4-9EB6218462F8}"/>
                    </c:ext>
                  </c:extLst>
                </c:dPt>
                <c:dLbls>
                  <c:spPr>
                    <a:solidFill>
                      <a:schemeClr val="lt1"/>
                    </a:solidFill>
                    <a:ln>
                      <a:solidFill>
                        <a:schemeClr val="dk1">
                          <a:lumMod val="25000"/>
                          <a:lumOff val="75000"/>
                        </a:schemeClr>
                      </a:solidFill>
                    </a:ln>
                    <a:effectLst/>
                  </c:spPr>
                  <c:txPr>
                    <a:bodyPr rot="0" spcFirstLastPara="1" vertOverflow="clip" horzOverflow="clip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dk1">
                              <a:lumMod val="65000"/>
                              <a:lumOff val="3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0"/>
                  <c:showCatName val="1"/>
                  <c:showSerName val="0"/>
                  <c:showPercent val="1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pPr xmlns:c15="http://schemas.microsoft.com/office/drawing/2012/chart">
                        <a:prstGeom prst="wedgeRectCallout">
                          <a:avLst/>
                        </a:prstGeom>
                        <a:noFill/>
                        <a:ln>
                          <a:noFill/>
                        </a:ln>
                      </c15:spPr>
                    </c:ext>
                  </c:extLst>
                </c:dLbls>
                <c:cat>
                  <c:multiLvl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DashBoard!$C$22:$D$25</c15:sqref>
                        </c15:formulaRef>
                      </c:ext>
                    </c:extLst>
                    <c:multiLvlStrCache>
                      <c:ptCount val="4"/>
                      <c:lvl>
                        <c:pt idx="0">
                          <c:v>15$-25$</c:v>
                        </c:pt>
                        <c:pt idx="1">
                          <c:v>&lt;15$</c:v>
                        </c:pt>
                        <c:pt idx="2">
                          <c:v>26$-35$</c:v>
                        </c:pt>
                        <c:pt idx="3">
                          <c:v>&gt;35$</c:v>
                        </c:pt>
                      </c:lvl>
                      <c:lvl>
                        <c:pt idx="0">
                          <c:v>Medium</c:v>
                        </c:pt>
                        <c:pt idx="1">
                          <c:v>Low</c:v>
                        </c:pt>
                        <c:pt idx="2">
                          <c:v>High</c:v>
                        </c:pt>
                        <c:pt idx="3">
                          <c:v>Premium</c:v>
                        </c:pt>
                      </c:lvl>
                    </c:multiLvlStrCache>
                  </c:multiLvl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DashBoard!$I$22:$I$25</c15:sqref>
                        </c15:formulaRef>
                      </c:ext>
                    </c:extLst>
                    <c:numCache>
                      <c:formatCode>0%</c:formatCode>
                      <c:ptCount val="4"/>
                      <c:pt idx="0">
                        <c:v>0.18147430016471597</c:v>
                      </c:pt>
                      <c:pt idx="1">
                        <c:v>0.17894260185768093</c:v>
                      </c:pt>
                      <c:pt idx="2">
                        <c:v>0.1438324726909308</c:v>
                      </c:pt>
                      <c:pt idx="3">
                        <c:v>0.12094971653566616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3E-5110-4E59-AFF4-9EB6218462F8}"/>
                  </c:ext>
                </c:extLst>
              </c15:ser>
            </c15:filteredPieSeries>
            <c15:filteredPieSeries>
              <c15:ser>
                <c:idx val="7"/>
                <c:order val="6"/>
                <c:dPt>
                  <c:idx val="0"/>
                  <c:bubble3D val="0"/>
                  <c:spPr>
                    <a:gradFill rotWithShape="1">
                      <a:gsLst>
                        <a:gs pos="0">
                          <a:schemeClr val="accent1"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1"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1"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  <a:sp3d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40-5110-4E59-AFF4-9EB6218462F8}"/>
                    </c:ext>
                  </c:extLst>
                </c:dPt>
                <c:dLbls>
                  <c:spPr>
                    <a:solidFill>
                      <a:schemeClr val="lt1"/>
                    </a:solidFill>
                    <a:ln>
                      <a:solidFill>
                        <a:schemeClr val="dk1">
                          <a:lumMod val="25000"/>
                          <a:lumOff val="75000"/>
                        </a:schemeClr>
                      </a:solidFill>
                    </a:ln>
                    <a:effectLst/>
                  </c:spPr>
                  <c:txPr>
                    <a:bodyPr rot="0" spcFirstLastPara="1" vertOverflow="clip" horzOverflow="clip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dk1">
                              <a:lumMod val="65000"/>
                              <a:lumOff val="3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0"/>
                  <c:showCatName val="1"/>
                  <c:showSerName val="0"/>
                  <c:showPercent val="1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pPr xmlns:c15="http://schemas.microsoft.com/office/drawing/2012/chart">
                        <a:prstGeom prst="wedgeRectCallout">
                          <a:avLst/>
                        </a:prstGeom>
                        <a:noFill/>
                        <a:ln>
                          <a:noFill/>
                        </a:ln>
                      </c15:spPr>
                    </c:ext>
                  </c:extLst>
                </c:dLbls>
                <c:cat>
                  <c:multiLvl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DashBoard!$C$22:$D$25</c15:sqref>
                        </c15:formulaRef>
                      </c:ext>
                    </c:extLst>
                    <c:multiLvlStrCache>
                      <c:ptCount val="4"/>
                      <c:lvl>
                        <c:pt idx="0">
                          <c:v>15$-25$</c:v>
                        </c:pt>
                        <c:pt idx="1">
                          <c:v>&lt;15$</c:v>
                        </c:pt>
                        <c:pt idx="2">
                          <c:v>26$-35$</c:v>
                        </c:pt>
                        <c:pt idx="3">
                          <c:v>&gt;35$</c:v>
                        </c:pt>
                      </c:lvl>
                      <c:lvl>
                        <c:pt idx="0">
                          <c:v>Medium</c:v>
                        </c:pt>
                        <c:pt idx="1">
                          <c:v>Low</c:v>
                        </c:pt>
                        <c:pt idx="2">
                          <c:v>High</c:v>
                        </c:pt>
                        <c:pt idx="3">
                          <c:v>Premium</c:v>
                        </c:pt>
                      </c:lvl>
                    </c:multiLvlStrCache>
                  </c:multiLvlStrRef>
                </c:cat>
                <c:val>
                  <c:numLit>
                    <c:formatCode>General</c:formatCode>
                    <c:ptCount val="1"/>
                    <c:pt idx="0">
                      <c:v>1</c:v>
                    </c:pt>
                  </c:numLit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41-5110-4E59-AFF4-9EB6218462F8}"/>
                  </c:ext>
                </c:extLst>
              </c15:ser>
            </c15:filteredPieSeries>
          </c:ext>
        </c:extLst>
      </c:pie3DChart>
      <c:spPr>
        <a:noFill/>
        <a:ln w="25400"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15000">
          <a:schemeClr val="accent3">
            <a:lumMod val="5000"/>
            <a:lumOff val="95000"/>
          </a:schemeClr>
        </a:gs>
        <a:gs pos="74000">
          <a:schemeClr val="accent3">
            <a:lumMod val="45000"/>
            <a:lumOff val="55000"/>
          </a:schemeClr>
        </a:gs>
        <a:gs pos="49000">
          <a:schemeClr val="accent3">
            <a:lumMod val="45000"/>
            <a:lumOff val="55000"/>
          </a:schemeClr>
        </a:gs>
        <a:gs pos="58000">
          <a:schemeClr val="accent3">
            <a:lumMod val="30000"/>
            <a:lumOff val="70000"/>
          </a:schemeClr>
        </a:gs>
      </a:gsLst>
      <a:lin ang="5400000" scaled="1"/>
      <a:tileRect/>
    </a:gra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[Customer behaviour and tips prediction project (Recovered).xlsx]DashBoard!PivotTable1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400"/>
              <a:t>Revenue By day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sq">
            <a:solidFill>
              <a:schemeClr val="tx2">
                <a:lumMod val="50000"/>
              </a:schemeClr>
            </a:solidFill>
            <a:prstDash val="lgDash"/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sq">
            <a:solidFill>
              <a:schemeClr val="tx2">
                <a:lumMod val="50000"/>
              </a:schemeClr>
            </a:solidFill>
            <a:prstDash val="lgDash"/>
            <a:round/>
          </a:ln>
          <a:effectLst/>
        </c:spPr>
        <c:marker>
          <c:symbol val="none"/>
        </c:marker>
        <c:dLbl>
          <c:idx val="0"/>
          <c:layout>
            <c:manualLayout>
              <c:x val="-0.10520068087097136"/>
              <c:y val="-6.4010101292190064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8.2883383586369153E-2"/>
          <c:y val="0.12483757273291783"/>
          <c:w val="0.84733553827755537"/>
          <c:h val="0.73516880936500995"/>
        </c:manualLayout>
      </c:layout>
      <c:lineChart>
        <c:grouping val="standard"/>
        <c:varyColors val="0"/>
        <c:ser>
          <c:idx val="0"/>
          <c:order val="0"/>
          <c:tx>
            <c:strRef>
              <c:f>DashBoard!$B$21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sq">
              <a:solidFill>
                <a:schemeClr val="tx2">
                  <a:lumMod val="50000"/>
                </a:schemeClr>
              </a:solidFill>
              <a:prstDash val="lgDash"/>
              <a:round/>
            </a:ln>
            <a:effectLst/>
          </c:spPr>
          <c:marker>
            <c:symbol val="none"/>
          </c:marker>
          <c:dPt>
            <c:idx val="1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02-9C28-42B3-AD24-1DE68FD52E76}"/>
              </c:ext>
            </c:extLst>
          </c:dPt>
          <c:dLbls>
            <c:dLbl>
              <c:idx val="1"/>
              <c:layout>
                <c:manualLayout>
                  <c:x val="-0.10520068087097136"/>
                  <c:y val="-6.401010129219006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9C28-42B3-AD24-1DE68FD52E7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DashBoard!$A$22:$A$25</c:f>
              <c:strCache>
                <c:ptCount val="4"/>
                <c:pt idx="0">
                  <c:v>Fri</c:v>
                </c:pt>
                <c:pt idx="1">
                  <c:v>Thur</c:v>
                </c:pt>
                <c:pt idx="2">
                  <c:v>Sun</c:v>
                </c:pt>
                <c:pt idx="3">
                  <c:v>Sat</c:v>
                </c:pt>
              </c:strCache>
            </c:strRef>
          </c:cat>
          <c:val>
            <c:numRef>
              <c:f>DashBoard!$B$22:$B$25</c:f>
              <c:numCache>
                <c:formatCode>General</c:formatCode>
                <c:ptCount val="4"/>
                <c:pt idx="0">
                  <c:v>325.87999999999994</c:v>
                </c:pt>
                <c:pt idx="1">
                  <c:v>1083.3299999999997</c:v>
                </c:pt>
                <c:pt idx="2">
                  <c:v>1627.1600000000003</c:v>
                </c:pt>
                <c:pt idx="3">
                  <c:v>1778.3999999999996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C28-42B3-AD24-1DE68FD52E76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206834928"/>
        <c:axId val="1206820528"/>
      </c:lineChart>
      <c:catAx>
        <c:axId val="1206834928"/>
        <c:scaling>
          <c:orientation val="minMax"/>
        </c:scaling>
        <c:delete val="0"/>
        <c:axPos val="b"/>
        <c:majorGridlines>
          <c:spPr>
            <a:ln w="12700" cap="flat" cmpd="sng" algn="ctr">
              <a:solidFill>
                <a:schemeClr val="accent3"/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accent3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ln>
                  <a:noFill/>
                </a:ln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6820528"/>
        <c:crosses val="autoZero"/>
        <c:auto val="1"/>
        <c:lblAlgn val="ctr"/>
        <c:lblOffset val="100"/>
        <c:noMultiLvlLbl val="0"/>
      </c:catAx>
      <c:valAx>
        <c:axId val="120682052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2068349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>
      <a:gsLst>
        <a:gs pos="64000">
          <a:schemeClr val="accent3">
            <a:lumMod val="20000"/>
            <a:lumOff val="80000"/>
          </a:schemeClr>
        </a:gs>
        <a:gs pos="32000">
          <a:schemeClr val="bg1"/>
        </a:gs>
        <a:gs pos="0">
          <a:schemeClr val="accent1">
            <a:lumMod val="45000"/>
            <a:lumOff val="55000"/>
          </a:schemeClr>
        </a:gs>
        <a:gs pos="0">
          <a:schemeClr val="accent1">
            <a:lumMod val="30000"/>
            <a:lumOff val="70000"/>
          </a:schemeClr>
        </a:gs>
      </a:gsLst>
      <a:lin ang="5400000" scaled="1"/>
    </a:gradFill>
    <a:ln w="9525" cap="flat" cmpd="sng" algn="ctr">
      <a:solidFill>
        <a:schemeClr val="accent3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[Customer behaviour and tips prediction project (Recovered).xlsx]Executive Summary!PivotTable4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Tip</a:t>
            </a:r>
            <a:r>
              <a:rPr lang="en-US" baseline="0"/>
              <a:t> By Time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'Executive Summary'!$B$8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'Executive Summary'!$A$9:$A$10</c:f>
              <c:strCache>
                <c:ptCount val="2"/>
                <c:pt idx="0">
                  <c:v>Dinner</c:v>
                </c:pt>
                <c:pt idx="1">
                  <c:v>Lunch</c:v>
                </c:pt>
              </c:strCache>
            </c:strRef>
          </c:cat>
          <c:val>
            <c:numRef>
              <c:f>'Executive Summary'!$B$9:$B$10</c:f>
              <c:numCache>
                <c:formatCode>General</c:formatCode>
                <c:ptCount val="2"/>
                <c:pt idx="0">
                  <c:v>546.07000000000005</c:v>
                </c:pt>
                <c:pt idx="1">
                  <c:v>183.51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68A-413E-A0DE-A68CD3501B1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115256351"/>
        <c:axId val="1115256831"/>
      </c:barChart>
      <c:catAx>
        <c:axId val="111525635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5256831"/>
        <c:crosses val="autoZero"/>
        <c:auto val="1"/>
        <c:lblAlgn val="ctr"/>
        <c:lblOffset val="100"/>
        <c:noMultiLvlLbl val="0"/>
      </c:catAx>
      <c:valAx>
        <c:axId val="1115256831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111525635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[Customer behaviour and tips prediction project (Recovered).xlsx]Executive Summary!PivotTable5</c:name>
    <c:fmtId val="12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'Executive Summary'!$B$16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'Executive Summary'!$A$17:$A$20</c:f>
              <c:strCache>
                <c:ptCount val="4"/>
                <c:pt idx="0">
                  <c:v>Sat</c:v>
                </c:pt>
                <c:pt idx="1">
                  <c:v>Sun</c:v>
                </c:pt>
                <c:pt idx="2">
                  <c:v>Thur</c:v>
                </c:pt>
                <c:pt idx="3">
                  <c:v>Fri</c:v>
                </c:pt>
              </c:strCache>
            </c:strRef>
          </c:cat>
          <c:val>
            <c:numRef>
              <c:f>'Executive Summary'!$B$17:$B$20</c:f>
              <c:numCache>
                <c:formatCode>General</c:formatCode>
                <c:ptCount val="4"/>
                <c:pt idx="0">
                  <c:v>1778.4</c:v>
                </c:pt>
                <c:pt idx="1">
                  <c:v>1627.16</c:v>
                </c:pt>
                <c:pt idx="2">
                  <c:v>1083.33</c:v>
                </c:pt>
                <c:pt idx="3">
                  <c:v>325.88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68F-424B-9D1F-D4895458280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570485791"/>
        <c:axId val="1570499711"/>
      </c:barChart>
      <c:catAx>
        <c:axId val="15704857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0499711"/>
        <c:crosses val="autoZero"/>
        <c:auto val="1"/>
        <c:lblAlgn val="ctr"/>
        <c:lblOffset val="100"/>
        <c:noMultiLvlLbl val="0"/>
      </c:catAx>
      <c:valAx>
        <c:axId val="15704997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04857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[Customer behaviour and tips prediction project (Recovered).xlsx]Executive Summary!PivotTable6</c:name>
    <c:fmtId val="1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Customer Visit By time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'Executive Summary'!$B$27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'Executive Summary'!$A$28:$A$37</c:f>
              <c:multiLvlStrCache>
                <c:ptCount val="6"/>
                <c:lvl>
                  <c:pt idx="0">
                    <c:v>Dinner</c:v>
                  </c:pt>
                  <c:pt idx="1">
                    <c:v>Dinner</c:v>
                  </c:pt>
                  <c:pt idx="2">
                    <c:v>Dinner</c:v>
                  </c:pt>
                  <c:pt idx="3">
                    <c:v>Lunch</c:v>
                  </c:pt>
                  <c:pt idx="4">
                    <c:v>Lunch</c:v>
                  </c:pt>
                  <c:pt idx="5">
                    <c:v>Dinner</c:v>
                  </c:pt>
                </c:lvl>
                <c:lvl>
                  <c:pt idx="0">
                    <c:v>Sat</c:v>
                  </c:pt>
                  <c:pt idx="1">
                    <c:v>Sun</c:v>
                  </c:pt>
                  <c:pt idx="2">
                    <c:v>Thur</c:v>
                  </c:pt>
                  <c:pt idx="4">
                    <c:v>Fri</c:v>
                  </c:pt>
                </c:lvl>
              </c:multiLvlStrCache>
            </c:multiLvlStrRef>
          </c:cat>
          <c:val>
            <c:numRef>
              <c:f>'Executive Summary'!$B$28:$B$37</c:f>
              <c:numCache>
                <c:formatCode>0.00%</c:formatCode>
                <c:ptCount val="6"/>
                <c:pt idx="0">
                  <c:v>1</c:v>
                </c:pt>
                <c:pt idx="1">
                  <c:v>1</c:v>
                </c:pt>
                <c:pt idx="2">
                  <c:v>1.6393442622950821E-2</c:v>
                </c:pt>
                <c:pt idx="3">
                  <c:v>0.98360655737704916</c:v>
                </c:pt>
                <c:pt idx="4">
                  <c:v>0.36842105263157893</c:v>
                </c:pt>
                <c:pt idx="5">
                  <c:v>0.63157894736842102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DF6-4B64-943C-AD0966D79E1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74181551"/>
        <c:axId val="74177711"/>
      </c:barChart>
      <c:catAx>
        <c:axId val="741815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177711"/>
        <c:crosses val="autoZero"/>
        <c:auto val="1"/>
        <c:lblAlgn val="ctr"/>
        <c:lblOffset val="100"/>
        <c:noMultiLvlLbl val="0"/>
      </c:catAx>
      <c:valAx>
        <c:axId val="74177711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crossAx val="741815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[Customer behaviour and tips prediction project (Recovered).xlsx]Executive Summary!PivotTable9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Revenue by Gender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'Executive Summary'!$E$52</c:f>
              <c:strCache>
                <c:ptCount val="1"/>
                <c:pt idx="0">
                  <c:v>Sum of total_bill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'Executive Summary'!$D$53:$D$54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'Executive Summary'!$E$53:$E$54</c:f>
              <c:numCache>
                <c:formatCode>General</c:formatCode>
                <c:ptCount val="2"/>
                <c:pt idx="0">
                  <c:v>1557.9499999999998</c:v>
                </c:pt>
                <c:pt idx="1">
                  <c:v>3256.8200000000024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FAC-45AE-8467-DBAB9B1B3F31}"/>
            </c:ext>
          </c:extLst>
        </c:ser>
        <c:ser>
          <c:idx val="1"/>
          <c:order val="1"/>
          <c:tx>
            <c:strRef>
              <c:f>'Executive Summary'!$F$52</c:f>
              <c:strCache>
                <c:ptCount val="1"/>
                <c:pt idx="0">
                  <c:v>Sum of tip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'Executive Summary'!$D$53:$D$54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'Executive Summary'!$F$53:$F$54</c:f>
              <c:numCache>
                <c:formatCode>General</c:formatCode>
                <c:ptCount val="2"/>
                <c:pt idx="0">
                  <c:v>244.51</c:v>
                </c:pt>
                <c:pt idx="1">
                  <c:v>485.07000000000011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FAC-45AE-8467-DBAB9B1B3F31}"/>
            </c:ext>
          </c:extLst>
        </c:ser>
        <c:ser>
          <c:idx val="2"/>
          <c:order val="2"/>
          <c:tx>
            <c:strRef>
              <c:f>'Executive Summary'!$G$52</c:f>
              <c:strCache>
                <c:ptCount val="1"/>
                <c:pt idx="0">
                  <c:v>Count by Sex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'Executive Summary'!$D$53:$D$54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'Executive Summary'!$G$53:$G$54</c:f>
              <c:numCache>
                <c:formatCode>General</c:formatCode>
                <c:ptCount val="2"/>
                <c:pt idx="0">
                  <c:v>86</c:v>
                </c:pt>
                <c:pt idx="1">
                  <c:v>157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FAC-45AE-8467-DBAB9B1B3F3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73372223"/>
        <c:axId val="73372703"/>
      </c:barChart>
      <c:catAx>
        <c:axId val="733722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372703"/>
        <c:crosses val="autoZero"/>
        <c:auto val="1"/>
        <c:lblAlgn val="ctr"/>
        <c:lblOffset val="100"/>
        <c:noMultiLvlLbl val="0"/>
      </c:catAx>
      <c:valAx>
        <c:axId val="733727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3722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</cx:chartData>
  <cx:chart>
    <cx:plotArea>
      <cx:plotAreaRegion>
        <cx:series layoutId="clusteredColumn" uniqueId="{822C0424-452D-4C84-8455-D03515038D07}">
          <cx:tx>
            <cx:txData>
              <cx:f>_xlchart.v1.0</cx:f>
              <cx:v>Residuals</cx:v>
            </cx:txData>
          </cx:tx>
          <cx:dataLabels>
            <cx:visibility seriesName="0" categoryName="0" value="1"/>
          </cx:dataLabels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tickLabels/>
      </cx:axis>
    </cx:plotArea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_xlchart.v1.3</cx:f>
      </cx:numDim>
    </cx:data>
  </cx:chartData>
  <cx:chart>
    <cx:plotArea>
      <cx:plotAreaRegion>
        <cx:series layoutId="clusteredColumn" uniqueId="{BA5F17EF-76E2-45DC-833F-B1E1DC9B5AE8}">
          <cx:tx>
            <cx:txData>
              <cx:f>_xlchart.v1.2</cx:f>
              <cx:v>Residuals</cx:v>
            </cx:txData>
          </cx:tx>
          <cx:dataLabels>
            <cx:visibility seriesName="0" categoryName="0" value="1"/>
          </cx:dataLabels>
          <cx:dataId val="0"/>
          <cx:layoutPr>
            <cx:binning intervalClosed="r"/>
          </cx:layoutPr>
        </cx:series>
      </cx:plotAreaRegion>
      <cx:axis id="0">
        <cx:catScaling gapWidth="0"/>
        <cx:tickLabels/>
        <cx:numFmt formatCode="0.00" sourceLinked="0"/>
      </cx:axis>
      <cx:axis id="1">
        <cx:valScaling/>
        <cx:tickLabels/>
      </cx:axis>
    </cx:plotArea>
  </cx:chart>
</cx:chartSpace>
</file>

<file path=xl/charts/chartEx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_xlchart.v1.9</cx:f>
      </cx:numDim>
    </cx:data>
  </cx:chartData>
  <cx:chart>
    <cx:plotArea>
      <cx:plotAreaRegion>
        <cx:series layoutId="clusteredColumn" uniqueId="{845E761F-1927-4837-A483-FF9C2C2921BE}">
          <cx:tx>
            <cx:txData>
              <cx:f>_xlchart.v1.8</cx:f>
              <cx:v>Residuals</cx:v>
            </cx:txData>
          </cx:tx>
          <cx:dataLabels>
            <cx:visibility seriesName="0" categoryName="0" value="1"/>
          </cx:dataLabels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34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1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microsoft.com/office/2014/relationships/chartEx" Target="../charts/chartEx1.xml"/></Relationships>
</file>

<file path=xl/drawings/_rels/drawing2.xml.rels><?xml version="1.0" encoding="UTF-8" standalone="yes"?>
<Relationships xmlns="http://schemas.openxmlformats.org/package/2006/relationships"><Relationship Id="rId1" Type="http://schemas.microsoft.com/office/2014/relationships/chartEx" Target="../charts/chartEx2.xml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chart" Target="../charts/chart9.xml"/><Relationship Id="rId3" Type="http://schemas.openxmlformats.org/officeDocument/2006/relationships/chart" Target="../charts/chart4.xml"/><Relationship Id="rId7" Type="http://schemas.openxmlformats.org/officeDocument/2006/relationships/chart" Target="../charts/chart8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Relationship Id="rId6" Type="http://schemas.openxmlformats.org/officeDocument/2006/relationships/chart" Target="../charts/chart7.xml"/><Relationship Id="rId5" Type="http://schemas.openxmlformats.org/officeDocument/2006/relationships/chart" Target="../charts/chart6.xml"/><Relationship Id="rId4" Type="http://schemas.openxmlformats.org/officeDocument/2006/relationships/chart" Target="../charts/chart5.xml"/><Relationship Id="rId9" Type="http://schemas.microsoft.com/office/2014/relationships/chartEx" Target="../charts/chartEx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2.xml"/><Relationship Id="rId2" Type="http://schemas.openxmlformats.org/officeDocument/2006/relationships/chart" Target="../charts/chart11.xml"/><Relationship Id="rId1" Type="http://schemas.openxmlformats.org/officeDocument/2006/relationships/chart" Target="../charts/chart10.xml"/><Relationship Id="rId4" Type="http://schemas.openxmlformats.org/officeDocument/2006/relationships/chart" Target="../charts/chart13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6.xml"/><Relationship Id="rId2" Type="http://schemas.openxmlformats.org/officeDocument/2006/relationships/chart" Target="../charts/chart15.xml"/><Relationship Id="rId1" Type="http://schemas.openxmlformats.org/officeDocument/2006/relationships/chart" Target="../charts/chart14.xml"/><Relationship Id="rId5" Type="http://schemas.openxmlformats.org/officeDocument/2006/relationships/chart" Target="../charts/chart18.xml"/><Relationship Id="rId4" Type="http://schemas.openxmlformats.org/officeDocument/2006/relationships/chart" Target="../charts/chart17.xml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1.xml"/><Relationship Id="rId2" Type="http://schemas.openxmlformats.org/officeDocument/2006/relationships/chart" Target="../charts/chart20.xml"/><Relationship Id="rId1" Type="http://schemas.openxmlformats.org/officeDocument/2006/relationships/chart" Target="../charts/chart19.xml"/><Relationship Id="rId4" Type="http://schemas.openxmlformats.org/officeDocument/2006/relationships/chart" Target="../charts/chart2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220825</xdr:colOff>
      <xdr:row>12</xdr:row>
      <xdr:rowOff>154330</xdr:rowOff>
    </xdr:from>
    <xdr:to>
      <xdr:col>21</xdr:col>
      <xdr:colOff>117627</xdr:colOff>
      <xdr:row>26</xdr:row>
      <xdr:rowOff>116687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18" name="Chart 17">
              <a:extLst>
                <a:ext uri="{FF2B5EF4-FFF2-40B4-BE49-F238E27FC236}">
                  <a16:creationId xmlns:a16="http://schemas.microsoft.com/office/drawing/2014/main" id="{23DF0410-50EF-4DCF-A6FE-91B5C10BB02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888825" y="2501290"/>
              <a:ext cx="4164002" cy="2553157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14</xdr:col>
      <xdr:colOff>0</xdr:colOff>
      <xdr:row>0</xdr:row>
      <xdr:rowOff>0</xdr:rowOff>
    </xdr:from>
    <xdr:to>
      <xdr:col>21</xdr:col>
      <xdr:colOff>323681</xdr:colOff>
      <xdr:row>13</xdr:row>
      <xdr:rowOff>6743</xdr:rowOff>
    </xdr:to>
    <xdr:graphicFrame macro="">
      <xdr:nvGraphicFramePr>
        <xdr:cNvPr id="20" name="Chart 19">
          <a:extLst>
            <a:ext uri="{FF2B5EF4-FFF2-40B4-BE49-F238E27FC236}">
              <a16:creationId xmlns:a16="http://schemas.microsoft.com/office/drawing/2014/main" id="{7F6EEDF1-5FDC-409C-BF5B-3B73BA2CCD3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0</xdr:colOff>
      <xdr:row>2</xdr:row>
      <xdr:rowOff>0</xdr:rowOff>
    </xdr:from>
    <xdr:to>
      <xdr:col>20</xdr:col>
      <xdr:colOff>322146</xdr:colOff>
      <xdr:row>16</xdr:row>
      <xdr:rowOff>79298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6" name="Chart 5">
              <a:extLst>
                <a:ext uri="{FF2B5EF4-FFF2-40B4-BE49-F238E27FC236}">
                  <a16:creationId xmlns:a16="http://schemas.microsoft.com/office/drawing/2014/main" id="{C7D593E6-878A-4D4D-B038-EFC4D8ACF30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180320" y="457200"/>
              <a:ext cx="4589346" cy="270819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22</xdr:col>
      <xdr:colOff>166925</xdr:colOff>
      <xdr:row>4</xdr:row>
      <xdr:rowOff>35885</xdr:rowOff>
    </xdr:from>
    <xdr:to>
      <xdr:col>28</xdr:col>
      <xdr:colOff>166925</xdr:colOff>
      <xdr:row>14</xdr:row>
      <xdr:rowOff>80368</xdr:rowOff>
    </xdr:to>
    <xdr:graphicFrame macro="">
      <xdr:nvGraphicFramePr>
        <xdr:cNvPr id="22" name="Chart 21">
          <a:extLst>
            <a:ext uri="{FF2B5EF4-FFF2-40B4-BE49-F238E27FC236}">
              <a16:creationId xmlns:a16="http://schemas.microsoft.com/office/drawing/2014/main" id="{7E474CF7-B808-C7F2-04FF-A8E6B67C73F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27</xdr:col>
      <xdr:colOff>479541</xdr:colOff>
      <xdr:row>3</xdr:row>
      <xdr:rowOff>74963</xdr:rowOff>
    </xdr:from>
    <xdr:to>
      <xdr:col>33</xdr:col>
      <xdr:colOff>479541</xdr:colOff>
      <xdr:row>13</xdr:row>
      <xdr:rowOff>74963</xdr:rowOff>
    </xdr:to>
    <xdr:graphicFrame macro="">
      <xdr:nvGraphicFramePr>
        <xdr:cNvPr id="23" name="Chart 22">
          <a:extLst>
            <a:ext uri="{FF2B5EF4-FFF2-40B4-BE49-F238E27FC236}">
              <a16:creationId xmlns:a16="http://schemas.microsoft.com/office/drawing/2014/main" id="{DB21FA55-DE96-E339-5FAE-32562BF5707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34</xdr:col>
      <xdr:colOff>17130</xdr:colOff>
      <xdr:row>2</xdr:row>
      <xdr:rowOff>153119</xdr:rowOff>
    </xdr:from>
    <xdr:to>
      <xdr:col>40</xdr:col>
      <xdr:colOff>17130</xdr:colOff>
      <xdr:row>12</xdr:row>
      <xdr:rowOff>21755</xdr:rowOff>
    </xdr:to>
    <xdr:graphicFrame macro="">
      <xdr:nvGraphicFramePr>
        <xdr:cNvPr id="24" name="Chart 23">
          <a:extLst>
            <a:ext uri="{FF2B5EF4-FFF2-40B4-BE49-F238E27FC236}">
              <a16:creationId xmlns:a16="http://schemas.microsoft.com/office/drawing/2014/main" id="{63CA06E5-AF00-5CF4-C3B0-620BCDDC741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24</xdr:col>
      <xdr:colOff>577232</xdr:colOff>
      <xdr:row>14</xdr:row>
      <xdr:rowOff>23380</xdr:rowOff>
    </xdr:from>
    <xdr:to>
      <xdr:col>30</xdr:col>
      <xdr:colOff>577232</xdr:colOff>
      <xdr:row>24</xdr:row>
      <xdr:rowOff>112931</xdr:rowOff>
    </xdr:to>
    <xdr:graphicFrame macro="">
      <xdr:nvGraphicFramePr>
        <xdr:cNvPr id="25" name="Chart 24">
          <a:extLst>
            <a:ext uri="{FF2B5EF4-FFF2-40B4-BE49-F238E27FC236}">
              <a16:creationId xmlns:a16="http://schemas.microsoft.com/office/drawing/2014/main" id="{C09E5586-98CC-7FD3-D257-164E2F36DB7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30</xdr:col>
      <xdr:colOff>577232</xdr:colOff>
      <xdr:row>13</xdr:row>
      <xdr:rowOff>120553</xdr:rowOff>
    </xdr:from>
    <xdr:to>
      <xdr:col>36</xdr:col>
      <xdr:colOff>577233</xdr:colOff>
      <xdr:row>23</xdr:row>
      <xdr:rowOff>125958</xdr:rowOff>
    </xdr:to>
    <xdr:graphicFrame macro="">
      <xdr:nvGraphicFramePr>
        <xdr:cNvPr id="26" name="Chart 25">
          <a:extLst>
            <a:ext uri="{FF2B5EF4-FFF2-40B4-BE49-F238E27FC236}">
              <a16:creationId xmlns:a16="http://schemas.microsoft.com/office/drawing/2014/main" id="{133AECA8-5629-F3C0-C8C4-DD8D9DAF73B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35</xdr:col>
      <xdr:colOff>557694</xdr:colOff>
      <xdr:row>12</xdr:row>
      <xdr:rowOff>60829</xdr:rowOff>
    </xdr:from>
    <xdr:to>
      <xdr:col>41</xdr:col>
      <xdr:colOff>557694</xdr:colOff>
      <xdr:row>22</xdr:row>
      <xdr:rowOff>68449</xdr:rowOff>
    </xdr:to>
    <xdr:graphicFrame macro="">
      <xdr:nvGraphicFramePr>
        <xdr:cNvPr id="27" name="Chart 26">
          <a:extLst>
            <a:ext uri="{FF2B5EF4-FFF2-40B4-BE49-F238E27FC236}">
              <a16:creationId xmlns:a16="http://schemas.microsoft.com/office/drawing/2014/main" id="{01CB928F-32DE-E7F8-80ED-E5F587B599E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32</xdr:col>
      <xdr:colOff>219026</xdr:colOff>
      <xdr:row>24</xdr:row>
      <xdr:rowOff>61937</xdr:rowOff>
    </xdr:from>
    <xdr:to>
      <xdr:col>38</xdr:col>
      <xdr:colOff>219026</xdr:colOff>
      <xdr:row>34</xdr:row>
      <xdr:rowOff>67343</xdr:rowOff>
    </xdr:to>
    <xdr:graphicFrame macro="">
      <xdr:nvGraphicFramePr>
        <xdr:cNvPr id="28" name="Chart 27">
          <a:extLst>
            <a:ext uri="{FF2B5EF4-FFF2-40B4-BE49-F238E27FC236}">
              <a16:creationId xmlns:a16="http://schemas.microsoft.com/office/drawing/2014/main" id="{6E2D79F3-B3C4-A9BF-140A-ED46265AB11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26</xdr:col>
      <xdr:colOff>192976</xdr:colOff>
      <xdr:row>24</xdr:row>
      <xdr:rowOff>93394</xdr:rowOff>
    </xdr:from>
    <xdr:to>
      <xdr:col>32</xdr:col>
      <xdr:colOff>192975</xdr:colOff>
      <xdr:row>34</xdr:row>
      <xdr:rowOff>106419</xdr:rowOff>
    </xdr:to>
    <xdr:graphicFrame macro="">
      <xdr:nvGraphicFramePr>
        <xdr:cNvPr id="29" name="Chart 28">
          <a:extLst>
            <a:ext uri="{FF2B5EF4-FFF2-40B4-BE49-F238E27FC236}">
              <a16:creationId xmlns:a16="http://schemas.microsoft.com/office/drawing/2014/main" id="{4FFCC0DA-6FC5-CC80-B650-680A914DBB5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15</xdr:col>
      <xdr:colOff>117231</xdr:colOff>
      <xdr:row>2</xdr:row>
      <xdr:rowOff>152401</xdr:rowOff>
    </xdr:from>
    <xdr:to>
      <xdr:col>22</xdr:col>
      <xdr:colOff>65129</xdr:colOff>
      <xdr:row>14</xdr:row>
      <xdr:rowOff>104206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3" name="Chart 32">
              <a:extLst>
                <a:ext uri="{FF2B5EF4-FFF2-40B4-BE49-F238E27FC236}">
                  <a16:creationId xmlns:a16="http://schemas.microsoft.com/office/drawing/2014/main" id="{ED0EB353-9F5E-6A7C-F8AF-2B2DA540AA7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9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905371" y="609601"/>
              <a:ext cx="4215098" cy="242830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50800</xdr:colOff>
      <xdr:row>60</xdr:row>
      <xdr:rowOff>21771</xdr:rowOff>
    </xdr:from>
    <xdr:to>
      <xdr:col>7</xdr:col>
      <xdr:colOff>7257</xdr:colOff>
      <xdr:row>76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C19D309-AAFC-D016-30E8-4A1C5FE022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800" y="11393714"/>
          <a:ext cx="4847771" cy="314960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53340</xdr:rowOff>
    </xdr:from>
    <xdr:to>
      <xdr:col>1</xdr:col>
      <xdr:colOff>929640</xdr:colOff>
      <xdr:row>17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267FB89-E729-E5BF-AB91-BAE6CEB9D70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91440</xdr:colOff>
      <xdr:row>4</xdr:row>
      <xdr:rowOff>175260</xdr:rowOff>
    </xdr:from>
    <xdr:to>
      <xdr:col>5</xdr:col>
      <xdr:colOff>198120</xdr:colOff>
      <xdr:row>17</xdr:row>
      <xdr:rowOff>160020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4E4DA6E-1A74-9341-3B30-F7DA57F8C51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6</xdr:colOff>
      <xdr:row>4</xdr:row>
      <xdr:rowOff>175260</xdr:rowOff>
    </xdr:from>
    <xdr:to>
      <xdr:col>9</xdr:col>
      <xdr:colOff>350520</xdr:colOff>
      <xdr:row>15</xdr:row>
      <xdr:rowOff>167640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1090D52-3142-7EA6-FCE5-15A830259FB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274320</xdr:colOff>
      <xdr:row>4</xdr:row>
      <xdr:rowOff>175260</xdr:rowOff>
    </xdr:from>
    <xdr:to>
      <xdr:col>17</xdr:col>
      <xdr:colOff>365760</xdr:colOff>
      <xdr:row>19</xdr:row>
      <xdr:rowOff>175260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E44042D3-4064-27BD-B0B7-F039D1DBD3E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26</xdr:row>
      <xdr:rowOff>69273</xdr:rowOff>
    </xdr:from>
    <xdr:to>
      <xdr:col>3</xdr:col>
      <xdr:colOff>635000</xdr:colOff>
      <xdr:row>52</xdr:row>
      <xdr:rowOff>45797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E89A8C5-DACC-4CDA-B141-CCDE610A2D0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760384</xdr:colOff>
      <xdr:row>26</xdr:row>
      <xdr:rowOff>1</xdr:rowOff>
    </xdr:from>
    <xdr:to>
      <xdr:col>6</xdr:col>
      <xdr:colOff>750454</xdr:colOff>
      <xdr:row>52</xdr:row>
      <xdr:rowOff>57728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324A0EAA-D64E-400E-9F31-503819CFFAF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311727</xdr:colOff>
      <xdr:row>19</xdr:row>
      <xdr:rowOff>80818</xdr:rowOff>
    </xdr:from>
    <xdr:to>
      <xdr:col>15</xdr:col>
      <xdr:colOff>1431636</xdr:colOff>
      <xdr:row>51</xdr:row>
      <xdr:rowOff>138545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B11172A-C77F-4041-A480-B4FA7BE3195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796637</xdr:colOff>
      <xdr:row>2</xdr:row>
      <xdr:rowOff>265546</xdr:rowOff>
    </xdr:from>
    <xdr:to>
      <xdr:col>15</xdr:col>
      <xdr:colOff>1073728</xdr:colOff>
      <xdr:row>14</xdr:row>
      <xdr:rowOff>34636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0B1A8204-7683-4278-ADD9-31D17FB52F5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6</xdr:col>
      <xdr:colOff>958273</xdr:colOff>
      <xdr:row>25</xdr:row>
      <xdr:rowOff>117764</xdr:rowOff>
    </xdr:from>
    <xdr:to>
      <xdr:col>13</xdr:col>
      <xdr:colOff>167409</xdr:colOff>
      <xdr:row>52</xdr:row>
      <xdr:rowOff>0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4B7B3B6D-6214-D225-CF72-1EC88072AFE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22860</xdr:colOff>
      <xdr:row>5</xdr:row>
      <xdr:rowOff>121920</xdr:rowOff>
    </xdr:from>
    <xdr:to>
      <xdr:col>10</xdr:col>
      <xdr:colOff>228600</xdr:colOff>
      <xdr:row>14</xdr:row>
      <xdr:rowOff>38100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6D31C18-FA27-F5C2-6968-E121674A9BC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586740</xdr:colOff>
      <xdr:row>14</xdr:row>
      <xdr:rowOff>45720</xdr:rowOff>
    </xdr:from>
    <xdr:to>
      <xdr:col>11</xdr:col>
      <xdr:colOff>152400</xdr:colOff>
      <xdr:row>23</xdr:row>
      <xdr:rowOff>30480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EBA7098-6342-A0D5-82BD-264773B214D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15240</xdr:colOff>
      <xdr:row>25</xdr:row>
      <xdr:rowOff>160020</xdr:rowOff>
    </xdr:from>
    <xdr:to>
      <xdr:col>10</xdr:col>
      <xdr:colOff>320040</xdr:colOff>
      <xdr:row>37</xdr:row>
      <xdr:rowOff>7620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38D87E72-9768-43E5-1568-0661A8F4487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45720</xdr:colOff>
      <xdr:row>48</xdr:row>
      <xdr:rowOff>15240</xdr:rowOff>
    </xdr:from>
    <xdr:to>
      <xdr:col>15</xdr:col>
      <xdr:colOff>480060</xdr:colOff>
      <xdr:row>55</xdr:row>
      <xdr:rowOff>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AE0A8D1E-C695-C563-D823-97F3A711CE5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OME" refreshedDate="46186.761699537034" createdVersion="8" refreshedVersion="8" minRefreshableVersion="3" recordCount="243" xr:uid="{D557AAB6-FBB9-42C8-90BD-FAD8C0576F23}">
  <cacheSource type="worksheet">
    <worksheetSource ref="A1:G244" sheet="tips dataset"/>
  </cacheSource>
  <cacheFields count="7">
    <cacheField name="sex" numFmtId="0">
      <sharedItems count="2">
        <s v="Female"/>
        <s v="Male"/>
      </sharedItems>
    </cacheField>
    <cacheField name="smoker" numFmtId="0">
      <sharedItems count="2">
        <s v="No"/>
        <s v="Yes"/>
      </sharedItems>
    </cacheField>
    <cacheField name="day" numFmtId="0">
      <sharedItems count="4">
        <s v="Sun"/>
        <s v="Sat"/>
        <s v="Thur"/>
        <s v="Fri"/>
      </sharedItems>
    </cacheField>
    <cacheField name="time" numFmtId="0">
      <sharedItems count="2">
        <s v="Dinner"/>
        <s v="Lunch"/>
      </sharedItems>
    </cacheField>
    <cacheField name="size" numFmtId="0">
      <sharedItems containsSemiMixedTypes="0" containsString="0" containsNumber="1" containsInteger="1" minValue="1" maxValue="6"/>
    </cacheField>
    <cacheField name="total_bill" numFmtId="0">
      <sharedItems containsSemiMixedTypes="0" containsString="0" containsNumber="1" minValue="3.07" maxValue="50.81"/>
    </cacheField>
    <cacheField name="tip" numFmtId="0">
      <sharedItems containsSemiMixedTypes="0" containsString="0" containsNumber="1" minValue="1" maxValue="10" count="123">
        <n v="1.01"/>
        <n v="1.66"/>
        <n v="3.5"/>
        <n v="3.31"/>
        <n v="3.61"/>
        <n v="4.71"/>
        <n v="2"/>
        <n v="3.12"/>
        <n v="1.96"/>
        <n v="3.23"/>
        <n v="1.71"/>
        <n v="5"/>
        <n v="1.57"/>
        <n v="3"/>
        <n v="3.02"/>
        <n v="3.92"/>
        <n v="1.67"/>
        <n v="3.71"/>
        <n v="3.35"/>
        <n v="4.08"/>
        <n v="2.75"/>
        <n v="2.23"/>
        <n v="7.58"/>
        <n v="3.18"/>
        <n v="2.34"/>
        <n v="4.3"/>
        <n v="1.45"/>
        <n v="2.5"/>
        <n v="2.4500000000000002"/>
        <n v="3.27"/>
        <n v="3.6"/>
        <n v="3.07"/>
        <n v="2.31"/>
        <n v="2.2400000000000002"/>
        <n v="2.54"/>
        <n v="3.06"/>
        <n v="1.32"/>
        <n v="5.6"/>
        <n v="6"/>
        <n v="2.0499999999999998"/>
        <n v="2.6"/>
        <n v="5.2"/>
        <n v="1.56"/>
        <n v="4.34"/>
        <n v="3.51"/>
        <n v="1.5"/>
        <n v="1.76"/>
        <n v="6.73"/>
        <n v="3.21"/>
        <n v="1.98"/>
        <n v="3.76"/>
        <n v="2.64"/>
        <n v="3.15"/>
        <n v="2.4700000000000002"/>
        <n v="1"/>
        <n v="2.0099999999999998"/>
        <n v="2.09"/>
        <n v="1.97"/>
        <n v="3.14"/>
        <n v="2.2000000000000002"/>
        <n v="1.25"/>
        <n v="3.08"/>
        <n v="4"/>
        <n v="2.71"/>
        <n v="3.4"/>
        <n v="1.83"/>
        <n v="2.0299999999999998"/>
        <n v="5.17"/>
        <n v="5.85"/>
        <n v="3.25"/>
        <n v="4.7300000000000004"/>
        <n v="3.48"/>
        <n v="1.64"/>
        <n v="4.0599999999999996"/>
        <n v="4.29"/>
        <n v="2.5499999999999998"/>
        <n v="5.07"/>
        <n v="1.8"/>
        <n v="2.92"/>
        <n v="1.68"/>
        <n v="2.52"/>
        <n v="4.2"/>
        <n v="1.48"/>
        <n v="2.1800000000000002"/>
        <n v="2.83"/>
        <n v="6.7"/>
        <n v="2.2999999999999998"/>
        <n v="1.36"/>
        <n v="1.63"/>
        <n v="1.73"/>
        <n v="2.74"/>
        <n v="5.14"/>
        <n v="3.75"/>
        <n v="2.61"/>
        <n v="4.5"/>
        <n v="1.61"/>
        <n v="10"/>
        <n v="3.16"/>
        <n v="5.15"/>
        <n v="3.11"/>
        <n v="3.55"/>
        <n v="3.68"/>
        <n v="5.65"/>
        <n v="6.5"/>
        <n v="4.1900000000000004"/>
        <n v="2.56"/>
        <n v="2.02"/>
        <n v="1.44"/>
        <n v="3.41"/>
        <n v="5.16"/>
        <n v="9"/>
        <n v="1.1000000000000001"/>
        <n v="3.09"/>
        <n v="1.92"/>
        <n v="1.58"/>
        <n v="2.72"/>
        <n v="2.88"/>
        <n v="3.39"/>
        <n v="1.47"/>
        <n v="1.17"/>
        <n v="4.67"/>
        <n v="5.92"/>
        <n v="1.75"/>
      </sharedItems>
    </cacheField>
  </cacheFields>
  <extLst>
    <ext xmlns:x14="http://schemas.microsoft.com/office/spreadsheetml/2009/9/main" uri="{725AE2AE-9491-48be-B2B4-4EB974FC3084}">
      <x14:pivotCacheDefinition pivotCacheId="1708064765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HOME" refreshedDate="46196.788091319446" backgroundQuery="1" createdVersion="8" refreshedVersion="8" minRefreshableVersion="3" recordCount="0" supportSubquery="1" supportAdvancedDrill="1" xr:uid="{A0F54687-2FF1-4DB0-AE80-D3BE4690D7BA}">
  <cacheSource type="external" connectionId="1"/>
  <cacheFields count="3">
    <cacheField name="[Range].[smoker].[smoker]" caption="smoker" numFmtId="0" hierarchy="1" level="1">
      <sharedItems count="2">
        <s v="No"/>
        <s v="Yes"/>
      </sharedItems>
    </cacheField>
    <cacheField name="[Measures].[Sum of total_bill]" caption="Sum of total_bill" numFmtId="0" hierarchy="10" level="32767"/>
    <cacheField name="[Measures].[Count of smoker]" caption="Count of smoker" numFmtId="0" hierarchy="11" level="32767"/>
  </cacheFields>
  <cacheHierarchies count="17">
    <cacheHierarchy uniqueName="[Range].[sex]" caption="sex" attribute="1" defaultMemberUniqueName="[Range].[sex].[All]" allUniqueName="[Range].[sex].[All]" dimensionUniqueName="[Range]" displayFolder="" count="0" memberValueDatatype="130" unbalanced="0"/>
    <cacheHierarchy uniqueName="[Range].[smoker]" caption="smoker" attribute="1" defaultMemberUniqueName="[Range].[smoker].[All]" allUniqueName="[Range].[smoker].[All]" dimensionUniqueName="[Range]" displayFolder="" count="2" memberValueDatatype="130" unbalanced="0">
      <fieldsUsage count="2">
        <fieldUsage x="-1"/>
        <fieldUsage x="0"/>
      </fieldsUsage>
    </cacheHierarchy>
    <cacheHierarchy uniqueName="[Range].[day]" caption="day" attribute="1" defaultMemberUniqueName="[Range].[day].[All]" allUniqueName="[Range].[day].[All]" dimensionUniqueName="[Range]" displayFolder="" count="0" memberValueDatatype="130" unbalanced="0"/>
    <cacheHierarchy uniqueName="[Range].[time]" caption="time" attribute="1" defaultMemberUniqueName="[Range].[time].[All]" allUniqueName="[Range].[time].[All]" dimensionUniqueName="[Range]" displayFolder="" count="0" memberValueDatatype="130" unbalanced="0"/>
    <cacheHierarchy uniqueName="[Range].[size]" caption="size" attribute="1" defaultMemberUniqueName="[Range].[size].[All]" allUniqueName="[Range].[size].[All]" dimensionUniqueName="[Range]" displayFolder="" count="0" memberValueDatatype="20" unbalanced="0"/>
    <cacheHierarchy uniqueName="[Range].[total_bill]" caption="total_bill" attribute="1" defaultMemberUniqueName="[Range].[total_bill].[All]" allUniqueName="[Range].[total_bill].[All]" dimensionUniqueName="[Range]" displayFolder="" count="0" memberValueDatatype="5" unbalanced="0"/>
    <cacheHierarchy uniqueName="[Range].[tip]" caption="tip" attribute="1" defaultMemberUniqueName="[Range].[tip].[All]" allUniqueName="[Range].[tip].[All]" dimensionUniqueName="[Range]" displayFolder="" count="0" memberValueDatatype="5" unbalanced="0"/>
    <cacheHierarchy uniqueName="[Measures].[__XL_Count Range]" caption="__XL_Count Range" measure="1" displayFolder="" measureGroup="Range" count="0" hidden="1"/>
    <cacheHierarchy uniqueName="[Measures].[__No measures defined]" caption="__No measures defined" measure="1" displayFolder="" count="0" hidden="1"/>
    <cacheHierarchy uniqueName="[Measures].[Sum of tip]" caption="Sum of tip" measure="1" displayFolder="" measureGroup="Range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total_bill]" caption="Sum of total_bill" measure="1" displayFolder="" measureGroup="Range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Count of smoker]" caption="Count of smoker" measure="1" displayFolder="" measureGroup="Range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Sum of size]" caption="Sum of size" measure="1" displayFolder="" measureGroup="Range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Average of size]" caption="Average of size" measure="1" displayFolder="" measureGroup="Range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Average of total_bill]" caption="Average of total_bill" measure="1" displayFolder="" measureGroup="Range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Count of day]" caption="Count of day" measure="1" displayFolder="" measureGroup="Range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Count of size]" caption="Count of size" measure="1" displayFolder="" measureGroup="Range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</cacheHierarchies>
  <kpis count="0"/>
  <dimensions count="2">
    <dimension measure="1" name="Measures" uniqueName="[Measures]" caption="Measures"/>
    <dimension name="Range" uniqueName="[Range]" caption="Range"/>
  </dimensions>
  <measureGroups count="1">
    <measureGroup name="Range" caption="Range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HOME" refreshedDate="46186.804756712962" backgroundQuery="1" createdVersion="8" refreshedVersion="8" minRefreshableVersion="3" recordCount="0" supportSubquery="1" supportAdvancedDrill="1" xr:uid="{934579D9-861B-4090-9BD3-A884AC34D711}">
  <cacheSource type="external" connectionId="1"/>
  <cacheFields count="2">
    <cacheField name="[Range].[day].[day]" caption="day" numFmtId="0" hierarchy="2" level="1">
      <sharedItems count="1">
        <s v="Sat"/>
      </sharedItems>
    </cacheField>
    <cacheField name="[Measures].[Sum of tip]" caption="Sum of tip" numFmtId="0" hierarchy="9" level="32767"/>
  </cacheFields>
  <cacheHierarchies count="17">
    <cacheHierarchy uniqueName="[Range].[sex]" caption="sex" attribute="1" defaultMemberUniqueName="[Range].[sex].[All]" allUniqueName="[Range].[sex].[All]" dimensionUniqueName="[Range]" displayFolder="" count="0" memberValueDatatype="130" unbalanced="0"/>
    <cacheHierarchy uniqueName="[Range].[smoker]" caption="smoker" attribute="1" defaultMemberUniqueName="[Range].[smoker].[All]" allUniqueName="[Range].[smoker].[All]" dimensionUniqueName="[Range]" displayFolder="" count="0" memberValueDatatype="130" unbalanced="0"/>
    <cacheHierarchy uniqueName="[Range].[day]" caption="day" attribute="1" defaultMemberUniqueName="[Range].[day].[All]" allUniqueName="[Range].[day].[All]" dimensionUniqueName="[Range]" displayFolder="" count="2" memberValueDatatype="130" unbalanced="0">
      <fieldsUsage count="2">
        <fieldUsage x="-1"/>
        <fieldUsage x="0"/>
      </fieldsUsage>
    </cacheHierarchy>
    <cacheHierarchy uniqueName="[Range].[time]" caption="time" attribute="1" defaultMemberUniqueName="[Range].[time].[All]" allUniqueName="[Range].[time].[All]" dimensionUniqueName="[Range]" displayFolder="" count="0" memberValueDatatype="130" unbalanced="0"/>
    <cacheHierarchy uniqueName="[Range].[size]" caption="size" attribute="1" defaultMemberUniqueName="[Range].[size].[All]" allUniqueName="[Range].[size].[All]" dimensionUniqueName="[Range]" displayFolder="" count="0" memberValueDatatype="20" unbalanced="0"/>
    <cacheHierarchy uniqueName="[Range].[total_bill]" caption="total_bill" attribute="1" defaultMemberUniqueName="[Range].[total_bill].[All]" allUniqueName="[Range].[total_bill].[All]" dimensionUniqueName="[Range]" displayFolder="" count="0" memberValueDatatype="5" unbalanced="0"/>
    <cacheHierarchy uniqueName="[Range].[tip]" caption="tip" attribute="1" defaultMemberUniqueName="[Range].[tip].[All]" allUniqueName="[Range].[tip].[All]" dimensionUniqueName="[Range]" displayFolder="" count="0" memberValueDatatype="5" unbalanced="0"/>
    <cacheHierarchy uniqueName="[Measures].[__XL_Count Range]" caption="__XL_Count Range" measure="1" displayFolder="" measureGroup="Range" count="0" hidden="1"/>
    <cacheHierarchy uniqueName="[Measures].[__No measures defined]" caption="__No measures defined" measure="1" displayFolder="" count="0" hidden="1"/>
    <cacheHierarchy uniqueName="[Measures].[Sum of tip]" caption="Sum of tip" measure="1" displayFolder="" measureGroup="Range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total_bill]" caption="Sum of total_bill" measure="1" displayFolder="" measureGroup="Range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Count of smoker]" caption="Count of smoker" measure="1" displayFolder="" measureGroup="Range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Sum of size]" caption="Sum of size" measure="1" displayFolder="" measureGroup="Range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Average of size]" caption="Average of size" measure="1" displayFolder="" measureGroup="Range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Average of total_bill]" caption="Average of total_bill" measure="1" displayFolder="" measureGroup="Range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Count of day]" caption="Count of day" measure="1" displayFolder="" measureGroup="Range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Count of size]" caption="Count of size" measure="1" displayFolder="" measureGroup="Range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</cacheHierarchies>
  <kpis count="0"/>
  <dimensions count="2">
    <dimension measure="1" name="Measures" uniqueName="[Measures]" caption="Measures"/>
    <dimension name="Range" uniqueName="[Range]" caption="Range"/>
  </dimensions>
  <measureGroups count="1">
    <measureGroup name="Range" caption="Range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HOME" refreshedDate="46186.78206701389" backgroundQuery="1" createdVersion="8" refreshedVersion="8" minRefreshableVersion="3" recordCount="0" supportSubquery="1" supportAdvancedDrill="1" xr:uid="{85B9C84F-105D-41FB-AC26-BD698E25A467}">
  <cacheSource type="external" connectionId="1"/>
  <cacheFields count="3">
    <cacheField name="[Range].[smoker].[smoker]" caption="smoker" numFmtId="0" hierarchy="1" level="1">
      <sharedItems count="2">
        <s v="No"/>
        <s v="Yes"/>
      </sharedItems>
    </cacheField>
    <cacheField name="[Measures].[Count of smoker]" caption="Count of smoker" numFmtId="0" hierarchy="11" level="32767"/>
    <cacheField name="Unsupported0" numFmtId="0" hierarchy="17" level="32767">
      <extLst>
        <ext xmlns:x14="http://schemas.microsoft.com/office/spreadsheetml/2009/9/main" uri="{63CAB8AC-B538-458d-9737-405883B0398D}">
          <x14:cacheField ignore="1"/>
        </ext>
      </extLst>
    </cacheField>
  </cacheFields>
  <cacheHierarchies count="18">
    <cacheHierarchy uniqueName="[Range].[sex]" caption="sex" attribute="1" defaultMemberUniqueName="[Range].[sex].[All]" allUniqueName="[Range].[sex].[All]" dimensionUniqueName="[Range]" displayFolder="" count="0" memberValueDatatype="130" unbalanced="0"/>
    <cacheHierarchy uniqueName="[Range].[smoker]" caption="smoker" attribute="1" defaultMemberUniqueName="[Range].[smoker].[All]" allUniqueName="[Range].[smoker].[All]" dimensionUniqueName="[Range]" displayFolder="" count="2" memberValueDatatype="130" unbalanced="0">
      <fieldsUsage count="2">
        <fieldUsage x="-1"/>
        <fieldUsage x="0"/>
      </fieldsUsage>
    </cacheHierarchy>
    <cacheHierarchy uniqueName="[Range].[day]" caption="day" attribute="1" defaultMemberUniqueName="[Range].[day].[All]" allUniqueName="[Range].[day].[All]" dimensionUniqueName="[Range]" displayFolder="" count="0" memberValueDatatype="130" unbalanced="0"/>
    <cacheHierarchy uniqueName="[Range].[time]" caption="time" attribute="1" defaultMemberUniqueName="[Range].[time].[All]" allUniqueName="[Range].[time].[All]" dimensionUniqueName="[Range]" displayFolder="" count="0" memberValueDatatype="130" unbalanced="0"/>
    <cacheHierarchy uniqueName="[Range].[size]" caption="size" attribute="1" defaultMemberUniqueName="[Range].[size].[All]" allUniqueName="[Range].[size].[All]" dimensionUniqueName="[Range]" displayFolder="" count="0" memberValueDatatype="20" unbalanced="0"/>
    <cacheHierarchy uniqueName="[Range].[total_bill]" caption="total_bill" attribute="1" defaultMemberUniqueName="[Range].[total_bill].[All]" allUniqueName="[Range].[total_bill].[All]" dimensionUniqueName="[Range]" displayFolder="" count="0" memberValueDatatype="5" unbalanced="0"/>
    <cacheHierarchy uniqueName="[Range].[tip]" caption="tip" attribute="1" defaultMemberUniqueName="[Range].[tip].[All]" allUniqueName="[Range].[tip].[All]" dimensionUniqueName="[Range]" displayFolder="" count="0" memberValueDatatype="5" unbalanced="0"/>
    <cacheHierarchy uniqueName="[Measures].[__XL_Count Range]" caption="__XL_Count Range" measure="1" displayFolder="" measureGroup="Range" count="0" hidden="1"/>
    <cacheHierarchy uniqueName="[Measures].[__No measures defined]" caption="__No measures defined" measure="1" displayFolder="" count="0" hidden="1"/>
    <cacheHierarchy uniqueName="[Measures].[Sum of tip]" caption="Sum of tip" measure="1" displayFolder="" measureGroup="Range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total_bill]" caption="Sum of total_bill" measure="1" displayFolder="" measureGroup="Range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Count of smoker]" caption="Count of smoker" measure="1" displayFolder="" measureGroup="Range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Sum of size]" caption="Sum of size" measure="1" displayFolder="" measureGroup="Range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Average of size]" caption="Average of size" measure="1" displayFolder="" measureGroup="Range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Average of total_bill]" caption="Average of total_bill" measure="1" displayFolder="" measureGroup="Range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Count of day]" caption="Count of day" measure="1" displayFolder="" measureGroup="Range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Count of size]" caption="Count of size" measure="1" displayFolder="" measureGroup="Range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Unsupported0" caption="sex" measure="1" count="0">
      <extLst>
        <ext xmlns:x14="http://schemas.microsoft.com/office/spreadsheetml/2009/9/main" uri="{8CF416AD-EC4C-4aba-99F5-12A058AE0983}">
          <x14:cacheHierarchy ignore="1"/>
        </ext>
      </extLst>
    </cacheHierarchy>
  </cacheHierarchies>
  <kpis count="0"/>
  <dimensions count="2">
    <dimension measure="1" name="Measures" uniqueName="[Measures]" caption="Measures"/>
    <dimension name="Range" uniqueName="[Range]" caption="Range"/>
  </dimensions>
  <measureGroups count="1">
    <measureGroup name="Range" caption="Range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HOME" refreshedDate="46196.78712627315" backgroundQuery="1" createdVersion="8" refreshedVersion="8" minRefreshableVersion="3" recordCount="0" supportSubquery="1" supportAdvancedDrill="1" xr:uid="{94479A58-5E88-4852-A751-02C91899B529}">
  <cacheSource type="external" connectionId="1"/>
  <cacheFields count="2">
    <cacheField name="[Range].[smoker].[smoker]" caption="smoker" numFmtId="0" hierarchy="1" level="1">
      <sharedItems count="2">
        <s v="No"/>
        <s v="Yes"/>
      </sharedItems>
    </cacheField>
    <cacheField name="[Measures].[Sum of tip]" caption="Sum of tip" numFmtId="0" hierarchy="9" level="32767"/>
  </cacheFields>
  <cacheHierarchies count="17">
    <cacheHierarchy uniqueName="[Range].[sex]" caption="sex" attribute="1" defaultMemberUniqueName="[Range].[sex].[All]" allUniqueName="[Range].[sex].[All]" dimensionUniqueName="[Range]" displayFolder="" count="0" memberValueDatatype="130" unbalanced="0"/>
    <cacheHierarchy uniqueName="[Range].[smoker]" caption="smoker" attribute="1" defaultMemberUniqueName="[Range].[smoker].[All]" allUniqueName="[Range].[smoker].[All]" dimensionUniqueName="[Range]" displayFolder="" count="2" memberValueDatatype="130" unbalanced="0">
      <fieldsUsage count="2">
        <fieldUsage x="-1"/>
        <fieldUsage x="0"/>
      </fieldsUsage>
    </cacheHierarchy>
    <cacheHierarchy uniqueName="[Range].[day]" caption="day" attribute="1" defaultMemberUniqueName="[Range].[day].[All]" allUniqueName="[Range].[day].[All]" dimensionUniqueName="[Range]" displayFolder="" count="0" memberValueDatatype="130" unbalanced="0"/>
    <cacheHierarchy uniqueName="[Range].[time]" caption="time" attribute="1" defaultMemberUniqueName="[Range].[time].[All]" allUniqueName="[Range].[time].[All]" dimensionUniqueName="[Range]" displayFolder="" count="0" memberValueDatatype="130" unbalanced="0"/>
    <cacheHierarchy uniqueName="[Range].[size]" caption="size" attribute="1" defaultMemberUniqueName="[Range].[size].[All]" allUniqueName="[Range].[size].[All]" dimensionUniqueName="[Range]" displayFolder="" count="0" memberValueDatatype="20" unbalanced="0"/>
    <cacheHierarchy uniqueName="[Range].[total_bill]" caption="total_bill" attribute="1" defaultMemberUniqueName="[Range].[total_bill].[All]" allUniqueName="[Range].[total_bill].[All]" dimensionUniqueName="[Range]" displayFolder="" count="0" memberValueDatatype="5" unbalanced="0"/>
    <cacheHierarchy uniqueName="[Range].[tip]" caption="tip" attribute="1" defaultMemberUniqueName="[Range].[tip].[All]" allUniqueName="[Range].[tip].[All]" dimensionUniqueName="[Range]" displayFolder="" count="0" memberValueDatatype="5" unbalanced="0"/>
    <cacheHierarchy uniqueName="[Measures].[__XL_Count Range]" caption="__XL_Count Range" measure="1" displayFolder="" measureGroup="Range" count="0" hidden="1"/>
    <cacheHierarchy uniqueName="[Measures].[__No measures defined]" caption="__No measures defined" measure="1" displayFolder="" count="0" hidden="1"/>
    <cacheHierarchy uniqueName="[Measures].[Sum of tip]" caption="Sum of tip" measure="1" displayFolder="" measureGroup="Range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total_bill]" caption="Sum of total_bill" measure="1" displayFolder="" measureGroup="Range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Count of smoker]" caption="Count of smoker" measure="1" displayFolder="" measureGroup="Range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Sum of size]" caption="Sum of size" measure="1" displayFolder="" measureGroup="Range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Average of size]" caption="Average of size" measure="1" displayFolder="" measureGroup="Range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Average of total_bill]" caption="Average of total_bill" measure="1" displayFolder="" measureGroup="Range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Count of day]" caption="Count of day" measure="1" displayFolder="" measureGroup="Range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Count of size]" caption="Count of size" measure="1" displayFolder="" measureGroup="Range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</cacheHierarchies>
  <kpis count="0"/>
  <dimensions count="2">
    <dimension measure="1" name="Measures" uniqueName="[Measures]" caption="Measures"/>
    <dimension name="Range" uniqueName="[Range]" caption="Range"/>
  </dimensions>
  <measureGroups count="1">
    <measureGroup name="Range" caption="Range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HOME" refreshedDate="46186.804638657406" backgroundQuery="1" createdVersion="8" refreshedVersion="8" minRefreshableVersion="3" recordCount="0" supportSubquery="1" supportAdvancedDrill="1" xr:uid="{AE9B5B80-FD0D-40A1-819E-F532D9A77870}">
  <cacheSource type="external" connectionId="1"/>
  <cacheFields count="2">
    <cacheField name="[Range].[day].[day]" caption="day" numFmtId="0" hierarchy="2" level="1">
      <sharedItems count="1">
        <s v="Sun"/>
      </sharedItems>
    </cacheField>
    <cacheField name="[Measures].[Average of total_bill]" caption="Average of total_bill" numFmtId="0" hierarchy="14" level="32767"/>
  </cacheFields>
  <cacheHierarchies count="17">
    <cacheHierarchy uniqueName="[Range].[sex]" caption="sex" attribute="1" defaultMemberUniqueName="[Range].[sex].[All]" allUniqueName="[Range].[sex].[All]" dimensionUniqueName="[Range]" displayFolder="" count="0" memberValueDatatype="130" unbalanced="0"/>
    <cacheHierarchy uniqueName="[Range].[smoker]" caption="smoker" attribute="1" defaultMemberUniqueName="[Range].[smoker].[All]" allUniqueName="[Range].[smoker].[All]" dimensionUniqueName="[Range]" displayFolder="" count="0" memberValueDatatype="130" unbalanced="0"/>
    <cacheHierarchy uniqueName="[Range].[day]" caption="day" attribute="1" defaultMemberUniqueName="[Range].[day].[All]" allUniqueName="[Range].[day].[All]" dimensionUniqueName="[Range]" displayFolder="" count="2" memberValueDatatype="130" unbalanced="0">
      <fieldsUsage count="2">
        <fieldUsage x="-1"/>
        <fieldUsage x="0"/>
      </fieldsUsage>
    </cacheHierarchy>
    <cacheHierarchy uniqueName="[Range].[time]" caption="time" attribute="1" defaultMemberUniqueName="[Range].[time].[All]" allUniqueName="[Range].[time].[All]" dimensionUniqueName="[Range]" displayFolder="" count="0" memberValueDatatype="130" unbalanced="0"/>
    <cacheHierarchy uniqueName="[Range].[size]" caption="size" attribute="1" defaultMemberUniqueName="[Range].[size].[All]" allUniqueName="[Range].[size].[All]" dimensionUniqueName="[Range]" displayFolder="" count="0" memberValueDatatype="20" unbalanced="0"/>
    <cacheHierarchy uniqueName="[Range].[total_bill]" caption="total_bill" attribute="1" defaultMemberUniqueName="[Range].[total_bill].[All]" allUniqueName="[Range].[total_bill].[All]" dimensionUniqueName="[Range]" displayFolder="" count="0" memberValueDatatype="5" unbalanced="0"/>
    <cacheHierarchy uniqueName="[Range].[tip]" caption="tip" attribute="1" defaultMemberUniqueName="[Range].[tip].[All]" allUniqueName="[Range].[tip].[All]" dimensionUniqueName="[Range]" displayFolder="" count="0" memberValueDatatype="5" unbalanced="0"/>
    <cacheHierarchy uniqueName="[Measures].[__XL_Count Range]" caption="__XL_Count Range" measure="1" displayFolder="" measureGroup="Range" count="0" hidden="1"/>
    <cacheHierarchy uniqueName="[Measures].[__No measures defined]" caption="__No measures defined" measure="1" displayFolder="" count="0" hidden="1"/>
    <cacheHierarchy uniqueName="[Measures].[Sum of tip]" caption="Sum of tip" measure="1" displayFolder="" measureGroup="Range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total_bill]" caption="Sum of total_bill" measure="1" displayFolder="" measureGroup="Range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Count of smoker]" caption="Count of smoker" measure="1" displayFolder="" measureGroup="Range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Sum of size]" caption="Sum of size" measure="1" displayFolder="" measureGroup="Range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Average of size]" caption="Average of size" measure="1" displayFolder="" measureGroup="Range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Average of total_bill]" caption="Average of total_bill" measure="1" displayFolder="" measureGroup="Range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Count of day]" caption="Count of day" measure="1" displayFolder="" measureGroup="Range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Count of size]" caption="Count of size" measure="1" displayFolder="" measureGroup="Range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</cacheHierarchies>
  <kpis count="0"/>
  <dimensions count="2">
    <dimension measure="1" name="Measures" uniqueName="[Measures]" caption="Measures"/>
    <dimension name="Range" uniqueName="[Range]" caption="Range"/>
  </dimensions>
  <measureGroups count="1">
    <measureGroup name="Range" caption="Range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HOME" refreshedDate="46196.785076736109" backgroundQuery="1" createdVersion="8" refreshedVersion="8" minRefreshableVersion="3" recordCount="0" supportSubquery="1" supportAdvancedDrill="1" xr:uid="{8233CC7D-9A81-405B-AD39-5167755E259F}">
  <cacheSource type="external" connectionId="1"/>
  <cacheFields count="3">
    <cacheField name="[Range].[sex].[sex]" caption="sex" numFmtId="0" level="1">
      <sharedItems count="2">
        <s v="Female"/>
        <s v="Male"/>
      </sharedItems>
    </cacheField>
    <cacheField name="[Measures].[Sum of tip]" caption="Sum of tip" numFmtId="0" hierarchy="9" level="32767"/>
    <cacheField name="[Measures].[Sum of total_bill]" caption="Sum of total_bill" numFmtId="0" hierarchy="10" level="32767"/>
  </cacheFields>
  <cacheHierarchies count="17">
    <cacheHierarchy uniqueName="[Range].[sex]" caption="sex" attribute="1" defaultMemberUniqueName="[Range].[sex].[All]" allUniqueName="[Range].[sex].[All]" dimensionUniqueName="[Range]" displayFolder="" count="2" memberValueDatatype="130" unbalanced="0">
      <fieldsUsage count="2">
        <fieldUsage x="-1"/>
        <fieldUsage x="0"/>
      </fieldsUsage>
    </cacheHierarchy>
    <cacheHierarchy uniqueName="[Range].[smoker]" caption="smoker" attribute="1" defaultMemberUniqueName="[Range].[smoker].[All]" allUniqueName="[Range].[smoker].[All]" dimensionUniqueName="[Range]" displayFolder="" count="0" memberValueDatatype="130" unbalanced="0"/>
    <cacheHierarchy uniqueName="[Range].[day]" caption="day" attribute="1" defaultMemberUniqueName="[Range].[day].[All]" allUniqueName="[Range].[day].[All]" dimensionUniqueName="[Range]" displayFolder="" count="0" memberValueDatatype="130" unbalanced="0"/>
    <cacheHierarchy uniqueName="[Range].[time]" caption="time" attribute="1" defaultMemberUniqueName="[Range].[time].[All]" allUniqueName="[Range].[time].[All]" dimensionUniqueName="[Range]" displayFolder="" count="0" memberValueDatatype="130" unbalanced="0"/>
    <cacheHierarchy uniqueName="[Range].[size]" caption="size" attribute="1" defaultMemberUniqueName="[Range].[size].[All]" allUniqueName="[Range].[size].[All]" dimensionUniqueName="[Range]" displayFolder="" count="0" memberValueDatatype="20" unbalanced="0"/>
    <cacheHierarchy uniqueName="[Range].[total_bill]" caption="total_bill" attribute="1" defaultMemberUniqueName="[Range].[total_bill].[All]" allUniqueName="[Range].[total_bill].[All]" dimensionUniqueName="[Range]" displayFolder="" count="0" memberValueDatatype="5" unbalanced="0"/>
    <cacheHierarchy uniqueName="[Range].[tip]" caption="tip" attribute="1" defaultMemberUniqueName="[Range].[tip].[All]" allUniqueName="[Range].[tip].[All]" dimensionUniqueName="[Range]" displayFolder="" count="0" memberValueDatatype="5" unbalanced="0"/>
    <cacheHierarchy uniqueName="[Measures].[__XL_Count Range]" caption="__XL_Count Range" measure="1" displayFolder="" measureGroup="Range" count="0" hidden="1"/>
    <cacheHierarchy uniqueName="[Measures].[__No measures defined]" caption="__No measures defined" measure="1" displayFolder="" count="0" hidden="1"/>
    <cacheHierarchy uniqueName="[Measures].[Sum of tip]" caption="Sum of tip" measure="1" displayFolder="" measureGroup="Range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total_bill]" caption="Sum of total_bill" measure="1" displayFolder="" measureGroup="Range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Count of smoker]" caption="Count of smoker" measure="1" displayFolder="" measureGroup="Range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Sum of size]" caption="Sum of size" measure="1" displayFolder="" measureGroup="Range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Average of size]" caption="Average of size" measure="1" displayFolder="" measureGroup="Range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Average of total_bill]" caption="Average of total_bill" measure="1" displayFolder="" measureGroup="Range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Count of day]" caption="Count of day" measure="1" displayFolder="" measureGroup="Range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Count of size]" caption="Count of size" measure="1" displayFolder="" measureGroup="Range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</cacheHierarchies>
  <kpis count="0"/>
  <dimensions count="2">
    <dimension measure="1" name="Measures" uniqueName="[Measures]" caption="Measures"/>
    <dimension name="Range" uniqueName="[Range]" caption="Range"/>
  </dimensions>
  <measureGroups count="1">
    <measureGroup name="Range" caption="Range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HOME" refreshedDate="46186.797284490742" backgroundQuery="1" createdVersion="8" refreshedVersion="8" minRefreshableVersion="3" recordCount="0" supportSubquery="1" supportAdvancedDrill="1" xr:uid="{D7AA83D9-95C5-4F5E-B47B-73978237451D}">
  <cacheSource type="external" connectionId="1"/>
  <cacheFields count="4">
    <cacheField name="[Range].[time].[time]" caption="time" numFmtId="0" hierarchy="3" level="1">
      <sharedItems count="2">
        <s v="Dinner"/>
        <s v="Lunch"/>
      </sharedItems>
    </cacheField>
    <cacheField name="[Measures].[Sum of total_bill]" caption="Sum of total_bill" numFmtId="0" hierarchy="10" level="32767"/>
    <cacheField name="[Measures].[Sum of tip]" caption="Sum of tip" numFmtId="0" hierarchy="9" level="32767"/>
    <cacheField name="[Measures].[Average of size]" caption="Average of size" numFmtId="0" hierarchy="13" level="32767"/>
  </cacheFields>
  <cacheHierarchies count="17">
    <cacheHierarchy uniqueName="[Range].[sex]" caption="sex" attribute="1" defaultMemberUniqueName="[Range].[sex].[All]" allUniqueName="[Range].[sex].[All]" dimensionUniqueName="[Range]" displayFolder="" count="0" memberValueDatatype="130" unbalanced="0"/>
    <cacheHierarchy uniqueName="[Range].[smoker]" caption="smoker" attribute="1" defaultMemberUniqueName="[Range].[smoker].[All]" allUniqueName="[Range].[smoker].[All]" dimensionUniqueName="[Range]" displayFolder="" count="0" memberValueDatatype="130" unbalanced="0"/>
    <cacheHierarchy uniqueName="[Range].[day]" caption="day" attribute="1" defaultMemberUniqueName="[Range].[day].[All]" allUniqueName="[Range].[day].[All]" dimensionUniqueName="[Range]" displayFolder="" count="0" memberValueDatatype="130" unbalanced="0"/>
    <cacheHierarchy uniqueName="[Range].[time]" caption="time" attribute="1" defaultMemberUniqueName="[Range].[time].[All]" allUniqueName="[Range].[time].[All]" dimensionUniqueName="[Range]" displayFolder="" count="2" memberValueDatatype="130" unbalanced="0">
      <fieldsUsage count="2">
        <fieldUsage x="-1"/>
        <fieldUsage x="0"/>
      </fieldsUsage>
    </cacheHierarchy>
    <cacheHierarchy uniqueName="[Range].[size]" caption="size" attribute="1" defaultMemberUniqueName="[Range].[size].[All]" allUniqueName="[Range].[size].[All]" dimensionUniqueName="[Range]" displayFolder="" count="0" memberValueDatatype="20" unbalanced="0"/>
    <cacheHierarchy uniqueName="[Range].[total_bill]" caption="total_bill" attribute="1" defaultMemberUniqueName="[Range].[total_bill].[All]" allUniqueName="[Range].[total_bill].[All]" dimensionUniqueName="[Range]" displayFolder="" count="0" memberValueDatatype="5" unbalanced="0"/>
    <cacheHierarchy uniqueName="[Range].[tip]" caption="tip" attribute="1" defaultMemberUniqueName="[Range].[tip].[All]" allUniqueName="[Range].[tip].[All]" dimensionUniqueName="[Range]" displayFolder="" count="0" memberValueDatatype="5" unbalanced="0"/>
    <cacheHierarchy uniqueName="[Measures].[__XL_Count Range]" caption="__XL_Count Range" measure="1" displayFolder="" measureGroup="Range" count="0" hidden="1"/>
    <cacheHierarchy uniqueName="[Measures].[__No measures defined]" caption="__No measures defined" measure="1" displayFolder="" count="0" hidden="1"/>
    <cacheHierarchy uniqueName="[Measures].[Sum of tip]" caption="Sum of tip" measure="1" displayFolder="" measureGroup="Range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total_bill]" caption="Sum of total_bill" measure="1" displayFolder="" measureGroup="Range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Count of smoker]" caption="Count of smoker" measure="1" displayFolder="" measureGroup="Range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Sum of size]" caption="Sum of size" measure="1" displayFolder="" measureGroup="Range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Average of size]" caption="Average of size" measure="1" displayFolder="" measureGroup="Range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Average of total_bill]" caption="Average of total_bill" measure="1" displayFolder="" measureGroup="Range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Count of day]" caption="Count of day" measure="1" displayFolder="" measureGroup="Range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Count of size]" caption="Count of size" measure="1" displayFolder="" measureGroup="Range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</cacheHierarchies>
  <kpis count="0"/>
  <dimensions count="2">
    <dimension measure="1" name="Measures" uniqueName="[Measures]" caption="Measures"/>
    <dimension name="Range" uniqueName="[Range]" caption="Range"/>
  </dimensions>
  <measureGroups count="1">
    <measureGroup name="Range" caption="Range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9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HOME" refreshedDate="46186.804839236109" backgroundQuery="1" createdVersion="8" refreshedVersion="8" minRefreshableVersion="3" recordCount="0" supportSubquery="1" supportAdvancedDrill="1" xr:uid="{ABA2FF65-B566-4C9C-83C5-340268FF3E4E}">
  <cacheSource type="external" connectionId="1"/>
  <cacheFields count="2">
    <cacheField name="[Range].[day].[day]" caption="day" numFmtId="0" hierarchy="2" level="1">
      <sharedItems count="1">
        <s v="Sat"/>
      </sharedItems>
    </cacheField>
    <cacheField name="[Measures].[Sum of total_bill]" caption="Sum of total_bill" numFmtId="0" hierarchy="10" level="32767"/>
  </cacheFields>
  <cacheHierarchies count="17">
    <cacheHierarchy uniqueName="[Range].[sex]" caption="sex" attribute="1" defaultMemberUniqueName="[Range].[sex].[All]" allUniqueName="[Range].[sex].[All]" dimensionUniqueName="[Range]" displayFolder="" count="0" memberValueDatatype="130" unbalanced="0"/>
    <cacheHierarchy uniqueName="[Range].[smoker]" caption="smoker" attribute="1" defaultMemberUniqueName="[Range].[smoker].[All]" allUniqueName="[Range].[smoker].[All]" dimensionUniqueName="[Range]" displayFolder="" count="0" memberValueDatatype="130" unbalanced="0"/>
    <cacheHierarchy uniqueName="[Range].[day]" caption="day" attribute="1" defaultMemberUniqueName="[Range].[day].[All]" allUniqueName="[Range].[day].[All]" dimensionUniqueName="[Range]" displayFolder="" count="2" memberValueDatatype="130" unbalanced="0">
      <fieldsUsage count="2">
        <fieldUsage x="-1"/>
        <fieldUsage x="0"/>
      </fieldsUsage>
    </cacheHierarchy>
    <cacheHierarchy uniqueName="[Range].[time]" caption="time" attribute="1" defaultMemberUniqueName="[Range].[time].[All]" allUniqueName="[Range].[time].[All]" dimensionUniqueName="[Range]" displayFolder="" count="0" memberValueDatatype="130" unbalanced="0"/>
    <cacheHierarchy uniqueName="[Range].[size]" caption="size" attribute="1" defaultMemberUniqueName="[Range].[size].[All]" allUniqueName="[Range].[size].[All]" dimensionUniqueName="[Range]" displayFolder="" count="0" memberValueDatatype="20" unbalanced="0"/>
    <cacheHierarchy uniqueName="[Range].[total_bill]" caption="total_bill" attribute="1" defaultMemberUniqueName="[Range].[total_bill].[All]" allUniqueName="[Range].[total_bill].[All]" dimensionUniqueName="[Range]" displayFolder="" count="0" memberValueDatatype="5" unbalanced="0"/>
    <cacheHierarchy uniqueName="[Range].[tip]" caption="tip" attribute="1" defaultMemberUniqueName="[Range].[tip].[All]" allUniqueName="[Range].[tip].[All]" dimensionUniqueName="[Range]" displayFolder="" count="0" memberValueDatatype="5" unbalanced="0"/>
    <cacheHierarchy uniqueName="[Measures].[__XL_Count Range]" caption="__XL_Count Range" measure="1" displayFolder="" measureGroup="Range" count="0" hidden="1"/>
    <cacheHierarchy uniqueName="[Measures].[__No measures defined]" caption="__No measures defined" measure="1" displayFolder="" count="0" hidden="1"/>
    <cacheHierarchy uniqueName="[Measures].[Sum of tip]" caption="Sum of tip" measure="1" displayFolder="" measureGroup="Range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total_bill]" caption="Sum of total_bill" measure="1" displayFolder="" measureGroup="Range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Count of smoker]" caption="Count of smoker" measure="1" displayFolder="" measureGroup="Range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Sum of size]" caption="Sum of size" measure="1" displayFolder="" measureGroup="Range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Average of size]" caption="Average of size" measure="1" displayFolder="" measureGroup="Range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Average of total_bill]" caption="Average of total_bill" measure="1" displayFolder="" measureGroup="Range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Count of day]" caption="Count of day" measure="1" displayFolder="" measureGroup="Range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Count of size]" caption="Count of size" measure="1" displayFolder="" measureGroup="Range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</cacheHierarchies>
  <kpis count="0"/>
  <dimensions count="2">
    <dimension measure="1" name="Measures" uniqueName="[Measures]" caption="Measures"/>
    <dimension name="Range" uniqueName="[Range]" caption="Range"/>
  </dimensions>
  <measureGroups count="1">
    <measureGroup name="Range" caption="Range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0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HOME" refreshedDate="46196.803217592591" backgroundQuery="1" createdVersion="8" refreshedVersion="8" minRefreshableVersion="3" recordCount="0" supportSubquery="1" supportAdvancedDrill="1" xr:uid="{C81643DF-7BED-43D2-B347-F3594B20E6BE}">
  <cacheSource type="external" connectionId="1"/>
  <cacheFields count="2">
    <cacheField name="[Range].[day].[day]" caption="day" numFmtId="0" hierarchy="2" level="1">
      <sharedItems count="4">
        <s v="Fri"/>
        <s v="Sat"/>
        <s v="Sun"/>
        <s v="Thur"/>
      </sharedItems>
    </cacheField>
    <cacheField name="[Measures].[Sum of total_bill]" caption="Sum of total_bill" numFmtId="0" hierarchy="10" level="32767"/>
  </cacheFields>
  <cacheHierarchies count="17">
    <cacheHierarchy uniqueName="[Range].[sex]" caption="sex" attribute="1" defaultMemberUniqueName="[Range].[sex].[All]" allUniqueName="[Range].[sex].[All]" dimensionUniqueName="[Range]" displayFolder="" count="0" memberValueDatatype="130" unbalanced="0"/>
    <cacheHierarchy uniqueName="[Range].[smoker]" caption="smoker" attribute="1" defaultMemberUniqueName="[Range].[smoker].[All]" allUniqueName="[Range].[smoker].[All]" dimensionUniqueName="[Range]" displayFolder="" count="0" memberValueDatatype="130" unbalanced="0"/>
    <cacheHierarchy uniqueName="[Range].[day]" caption="day" attribute="1" defaultMemberUniqueName="[Range].[day].[All]" allUniqueName="[Range].[day].[All]" dimensionUniqueName="[Range]" displayFolder="" count="2" memberValueDatatype="130" unbalanced="0">
      <fieldsUsage count="2">
        <fieldUsage x="-1"/>
        <fieldUsage x="0"/>
      </fieldsUsage>
    </cacheHierarchy>
    <cacheHierarchy uniqueName="[Range].[time]" caption="time" attribute="1" defaultMemberUniqueName="[Range].[time].[All]" allUniqueName="[Range].[time].[All]" dimensionUniqueName="[Range]" displayFolder="" count="0" memberValueDatatype="130" unbalanced="0"/>
    <cacheHierarchy uniqueName="[Range].[size]" caption="size" attribute="1" defaultMemberUniqueName="[Range].[size].[All]" allUniqueName="[Range].[size].[All]" dimensionUniqueName="[Range]" displayFolder="" count="0" memberValueDatatype="20" unbalanced="0"/>
    <cacheHierarchy uniqueName="[Range].[total_bill]" caption="total_bill" attribute="1" defaultMemberUniqueName="[Range].[total_bill].[All]" allUniqueName="[Range].[total_bill].[All]" dimensionUniqueName="[Range]" displayFolder="" count="0" memberValueDatatype="5" unbalanced="0"/>
    <cacheHierarchy uniqueName="[Range].[tip]" caption="tip" attribute="1" defaultMemberUniqueName="[Range].[tip].[All]" allUniqueName="[Range].[tip].[All]" dimensionUniqueName="[Range]" displayFolder="" count="0" memberValueDatatype="5" unbalanced="0"/>
    <cacheHierarchy uniqueName="[Measures].[__XL_Count Range]" caption="__XL_Count Range" measure="1" displayFolder="" measureGroup="Range" count="0" hidden="1"/>
    <cacheHierarchy uniqueName="[Measures].[__No measures defined]" caption="__No measures defined" measure="1" displayFolder="" count="0" hidden="1"/>
    <cacheHierarchy uniqueName="[Measures].[Sum of tip]" caption="Sum of tip" measure="1" displayFolder="" measureGroup="Range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total_bill]" caption="Sum of total_bill" measure="1" displayFolder="" measureGroup="Range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Count of smoker]" caption="Count of smoker" measure="1" displayFolder="" measureGroup="Range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Sum of size]" caption="Sum of size" measure="1" displayFolder="" measureGroup="Range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Average of size]" caption="Average of size" measure="1" displayFolder="" measureGroup="Range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Average of total_bill]" caption="Average of total_bill" measure="1" displayFolder="" measureGroup="Range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Count of day]" caption="Count of day" measure="1" displayFolder="" measureGroup="Range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Count of size]" caption="Count of size" measure="1" displayFolder="" measureGroup="Range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</cacheHierarchies>
  <kpis count="0"/>
  <dimensions count="2">
    <dimension measure="1" name="Measures" uniqueName="[Measures]" caption="Measures"/>
    <dimension name="Range" uniqueName="[Range]" caption="Range"/>
  </dimensions>
  <measureGroups count="1">
    <measureGroup name="Range" caption="Range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HOME" refreshedDate="46196.801271180557" backgroundQuery="1" createdVersion="8" refreshedVersion="8" minRefreshableVersion="3" recordCount="0" supportSubquery="1" supportAdvancedDrill="1" xr:uid="{9082A99E-1F5F-47BA-BE84-CD611D177985}">
  <cacheSource type="external" connectionId="1"/>
  <cacheFields count="2">
    <cacheField name="[Range].[time].[time]" caption="time" numFmtId="0" hierarchy="3" level="1">
      <sharedItems count="2">
        <s v="Dinner"/>
        <s v="Lunch"/>
      </sharedItems>
    </cacheField>
    <cacheField name="[Measures].[Sum of tip]" caption="Sum of tip" numFmtId="0" hierarchy="9" level="32767"/>
  </cacheFields>
  <cacheHierarchies count="17">
    <cacheHierarchy uniqueName="[Range].[sex]" caption="sex" attribute="1" defaultMemberUniqueName="[Range].[sex].[All]" allUniqueName="[Range].[sex].[All]" dimensionUniqueName="[Range]" displayFolder="" count="0" memberValueDatatype="130" unbalanced="0"/>
    <cacheHierarchy uniqueName="[Range].[smoker]" caption="smoker" attribute="1" defaultMemberUniqueName="[Range].[smoker].[All]" allUniqueName="[Range].[smoker].[All]" dimensionUniqueName="[Range]" displayFolder="" count="0" memberValueDatatype="130" unbalanced="0"/>
    <cacheHierarchy uniqueName="[Range].[day]" caption="day" attribute="1" defaultMemberUniqueName="[Range].[day].[All]" allUniqueName="[Range].[day].[All]" dimensionUniqueName="[Range]" displayFolder="" count="0" memberValueDatatype="130" unbalanced="0"/>
    <cacheHierarchy uniqueName="[Range].[time]" caption="time" attribute="1" defaultMemberUniqueName="[Range].[time].[All]" allUniqueName="[Range].[time].[All]" dimensionUniqueName="[Range]" displayFolder="" count="2" memberValueDatatype="130" unbalanced="0">
      <fieldsUsage count="2">
        <fieldUsage x="-1"/>
        <fieldUsage x="0"/>
      </fieldsUsage>
    </cacheHierarchy>
    <cacheHierarchy uniqueName="[Range].[size]" caption="size" attribute="1" defaultMemberUniqueName="[Range].[size].[All]" allUniqueName="[Range].[size].[All]" dimensionUniqueName="[Range]" displayFolder="" count="0" memberValueDatatype="20" unbalanced="0"/>
    <cacheHierarchy uniqueName="[Range].[total_bill]" caption="total_bill" attribute="1" defaultMemberUniqueName="[Range].[total_bill].[All]" allUniqueName="[Range].[total_bill].[All]" dimensionUniqueName="[Range]" displayFolder="" count="0" memberValueDatatype="5" unbalanced="0"/>
    <cacheHierarchy uniqueName="[Range].[tip]" caption="tip" attribute="1" defaultMemberUniqueName="[Range].[tip].[All]" allUniqueName="[Range].[tip].[All]" dimensionUniqueName="[Range]" displayFolder="" count="0" memberValueDatatype="5" unbalanced="0"/>
    <cacheHierarchy uniqueName="[Measures].[__XL_Count Range]" caption="__XL_Count Range" measure="1" displayFolder="" measureGroup="Range" count="0" hidden="1"/>
    <cacheHierarchy uniqueName="[Measures].[__No measures defined]" caption="__No measures defined" measure="1" displayFolder="" count="0" hidden="1"/>
    <cacheHierarchy uniqueName="[Measures].[Sum of tip]" caption="Sum of tip" measure="1" displayFolder="" measureGroup="Range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total_bill]" caption="Sum of total_bill" measure="1" displayFolder="" measureGroup="Range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Count of smoker]" caption="Count of smoker" measure="1" displayFolder="" measureGroup="Range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Sum of size]" caption="Sum of size" measure="1" displayFolder="" measureGroup="Range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Average of size]" caption="Average of size" measure="1" displayFolder="" measureGroup="Range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Average of total_bill]" caption="Average of total_bill" measure="1" displayFolder="" measureGroup="Range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Count of day]" caption="Count of day" measure="1" displayFolder="" measureGroup="Range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Count of size]" caption="Count of size" measure="1" displayFolder="" measureGroup="Range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</cacheHierarchies>
  <kpis count="0"/>
  <dimensions count="2">
    <dimension measure="1" name="Measures" uniqueName="[Measures]" caption="Measures"/>
    <dimension name="Range" uniqueName="[Range]" caption="Range"/>
  </dimensions>
  <measureGroups count="1">
    <measureGroup name="Range" caption="Range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HOME" refreshedDate="46196.809221759257" backgroundQuery="1" createdVersion="8" refreshedVersion="8" minRefreshableVersion="3" recordCount="0" supportSubquery="1" supportAdvancedDrill="1" xr:uid="{9B00CE59-E239-4E9B-8DF8-C6B3336EE470}">
  <cacheSource type="external" connectionId="1"/>
  <cacheFields count="3">
    <cacheField name="[Range].[day].[day]" caption="day" numFmtId="0" hierarchy="2" level="1">
      <sharedItems count="4">
        <s v="Fri"/>
        <s v="Sat"/>
        <s v="Sun"/>
        <s v="Thur"/>
      </sharedItems>
    </cacheField>
    <cacheField name="[Range].[time].[time]" caption="time" numFmtId="0" hierarchy="3" level="1">
      <sharedItems count="2">
        <s v="Dinner"/>
        <s v="Lunch"/>
      </sharedItems>
    </cacheField>
    <cacheField name="[Measures].[Count of size]" caption="Count of size" numFmtId="0" hierarchy="16" level="32767"/>
  </cacheFields>
  <cacheHierarchies count="17">
    <cacheHierarchy uniqueName="[Range].[sex]" caption="sex" attribute="1" defaultMemberUniqueName="[Range].[sex].[All]" allUniqueName="[Range].[sex].[All]" dimensionUniqueName="[Range]" displayFolder="" count="0" memberValueDatatype="130" unbalanced="0"/>
    <cacheHierarchy uniqueName="[Range].[smoker]" caption="smoker" attribute="1" defaultMemberUniqueName="[Range].[smoker].[All]" allUniqueName="[Range].[smoker].[All]" dimensionUniqueName="[Range]" displayFolder="" count="0" memberValueDatatype="130" unbalanced="0"/>
    <cacheHierarchy uniqueName="[Range].[day]" caption="day" attribute="1" defaultMemberUniqueName="[Range].[day].[All]" allUniqueName="[Range].[day].[All]" dimensionUniqueName="[Range]" displayFolder="" count="2" memberValueDatatype="130" unbalanced="0">
      <fieldsUsage count="2">
        <fieldUsage x="-1"/>
        <fieldUsage x="0"/>
      </fieldsUsage>
    </cacheHierarchy>
    <cacheHierarchy uniqueName="[Range].[time]" caption="time" attribute="1" defaultMemberUniqueName="[Range].[time].[All]" allUniqueName="[Range].[time].[All]" dimensionUniqueName="[Range]" displayFolder="" count="2" memberValueDatatype="130" unbalanced="0">
      <fieldsUsage count="2">
        <fieldUsage x="-1"/>
        <fieldUsage x="1"/>
      </fieldsUsage>
    </cacheHierarchy>
    <cacheHierarchy uniqueName="[Range].[size]" caption="size" attribute="1" defaultMemberUniqueName="[Range].[size].[All]" allUniqueName="[Range].[size].[All]" dimensionUniqueName="[Range]" displayFolder="" count="0" memberValueDatatype="20" unbalanced="0"/>
    <cacheHierarchy uniqueName="[Range].[total_bill]" caption="total_bill" attribute="1" defaultMemberUniqueName="[Range].[total_bill].[All]" allUniqueName="[Range].[total_bill].[All]" dimensionUniqueName="[Range]" displayFolder="" count="0" memberValueDatatype="5" unbalanced="0"/>
    <cacheHierarchy uniqueName="[Range].[tip]" caption="tip" attribute="1" defaultMemberUniqueName="[Range].[tip].[All]" allUniqueName="[Range].[tip].[All]" dimensionUniqueName="[Range]" displayFolder="" count="0" memberValueDatatype="5" unbalanced="0"/>
    <cacheHierarchy uniqueName="[Measures].[__XL_Count Range]" caption="__XL_Count Range" measure="1" displayFolder="" measureGroup="Range" count="0" hidden="1"/>
    <cacheHierarchy uniqueName="[Measures].[__No measures defined]" caption="__No measures defined" measure="1" displayFolder="" count="0" hidden="1"/>
    <cacheHierarchy uniqueName="[Measures].[Sum of tip]" caption="Sum of tip" measure="1" displayFolder="" measureGroup="Range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total_bill]" caption="Sum of total_bill" measure="1" displayFolder="" measureGroup="Range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Count of smoker]" caption="Count of smoker" measure="1" displayFolder="" measureGroup="Range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Sum of size]" caption="Sum of size" measure="1" displayFolder="" measureGroup="Range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Average of size]" caption="Average of size" measure="1" displayFolder="" measureGroup="Range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Average of total_bill]" caption="Average of total_bill" measure="1" displayFolder="" measureGroup="Range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Count of day]" caption="Count of day" measure="1" displayFolder="" measureGroup="Range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Count of size]" caption="Count of size" measure="1" displayFolder="" measureGroup="Range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4"/>
        </ext>
      </extLst>
    </cacheHierarchy>
  </cacheHierarchies>
  <kpis count="0"/>
  <dimensions count="2">
    <dimension measure="1" name="Measures" uniqueName="[Measures]" caption="Measures"/>
    <dimension name="Range" uniqueName="[Range]" caption="Range"/>
  </dimensions>
  <measureGroups count="1">
    <measureGroup name="Range" caption="Range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HOME" refreshedDate="46196.788091319446" backgroundQuery="1" createdVersion="8" refreshedVersion="8" minRefreshableVersion="3" recordCount="0" supportSubquery="1" supportAdvancedDrill="1" xr:uid="{8A64EC64-1134-45C1-9F73-2D3A844B4542}">
  <cacheSource type="external" connectionId="1"/>
  <cacheFields count="3">
    <cacheField name="[Range].[smoker].[smoker]" caption="smoker" numFmtId="0" hierarchy="1" level="1">
      <sharedItems count="2">
        <s v="No"/>
        <s v="Yes"/>
      </sharedItems>
    </cacheField>
    <cacheField name="[Measures].[Sum of total_bill]" caption="Sum of total_bill" numFmtId="0" hierarchy="10" level="32767"/>
    <cacheField name="[Measures].[Count of smoker]" caption="Count of smoker" numFmtId="0" hierarchy="11" level="32767"/>
  </cacheFields>
  <cacheHierarchies count="17">
    <cacheHierarchy uniqueName="[Range].[sex]" caption="sex" attribute="1" defaultMemberUniqueName="[Range].[sex].[All]" allUniqueName="[Range].[sex].[All]" dimensionUniqueName="[Range]" displayFolder="" count="0" memberValueDatatype="130" unbalanced="0"/>
    <cacheHierarchy uniqueName="[Range].[smoker]" caption="smoker" attribute="1" defaultMemberUniqueName="[Range].[smoker].[All]" allUniqueName="[Range].[smoker].[All]" dimensionUniqueName="[Range]" displayFolder="" count="2" memberValueDatatype="130" unbalanced="0">
      <fieldsUsage count="2">
        <fieldUsage x="-1"/>
        <fieldUsage x="0"/>
      </fieldsUsage>
    </cacheHierarchy>
    <cacheHierarchy uniqueName="[Range].[day]" caption="day" attribute="1" defaultMemberUniqueName="[Range].[day].[All]" allUniqueName="[Range].[day].[All]" dimensionUniqueName="[Range]" displayFolder="" count="0" memberValueDatatype="130" unbalanced="0"/>
    <cacheHierarchy uniqueName="[Range].[time]" caption="time" attribute="1" defaultMemberUniqueName="[Range].[time].[All]" allUniqueName="[Range].[time].[All]" dimensionUniqueName="[Range]" displayFolder="" count="0" memberValueDatatype="130" unbalanced="0"/>
    <cacheHierarchy uniqueName="[Range].[size]" caption="size" attribute="1" defaultMemberUniqueName="[Range].[size].[All]" allUniqueName="[Range].[size].[All]" dimensionUniqueName="[Range]" displayFolder="" count="0" memberValueDatatype="20" unbalanced="0"/>
    <cacheHierarchy uniqueName="[Range].[total_bill]" caption="total_bill" attribute="1" defaultMemberUniqueName="[Range].[total_bill].[All]" allUniqueName="[Range].[total_bill].[All]" dimensionUniqueName="[Range]" displayFolder="" count="0" memberValueDatatype="5" unbalanced="0"/>
    <cacheHierarchy uniqueName="[Range].[tip]" caption="tip" attribute="1" defaultMemberUniqueName="[Range].[tip].[All]" allUniqueName="[Range].[tip].[All]" dimensionUniqueName="[Range]" displayFolder="" count="0" memberValueDatatype="5" unbalanced="0"/>
    <cacheHierarchy uniqueName="[Measures].[__XL_Count Range]" caption="__XL_Count Range" measure="1" displayFolder="" measureGroup="Range" count="0" hidden="1"/>
    <cacheHierarchy uniqueName="[Measures].[__No measures defined]" caption="__No measures defined" measure="1" displayFolder="" count="0" hidden="1"/>
    <cacheHierarchy uniqueName="[Measures].[Sum of tip]" caption="Sum of tip" measure="1" displayFolder="" measureGroup="Range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total_bill]" caption="Sum of total_bill" measure="1" displayFolder="" measureGroup="Range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Count of smoker]" caption="Count of smoker" measure="1" displayFolder="" measureGroup="Range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Sum of size]" caption="Sum of size" measure="1" displayFolder="" measureGroup="Range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Average of size]" caption="Average of size" measure="1" displayFolder="" measureGroup="Range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Average of total_bill]" caption="Average of total_bill" measure="1" displayFolder="" measureGroup="Range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Count of day]" caption="Count of day" measure="1" displayFolder="" measureGroup="Range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Count of size]" caption="Count of size" measure="1" displayFolder="" measureGroup="Range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</cacheHierarchies>
  <kpis count="0"/>
  <dimensions count="2">
    <dimension measure="1" name="Measures" uniqueName="[Measures]" caption="Measures"/>
    <dimension name="Range" uniqueName="[Range]" caption="Range"/>
  </dimensions>
  <measureGroups count="1">
    <measureGroup name="Range" caption="Range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HOME" refreshedDate="46196.78712627315" backgroundQuery="1" createdVersion="8" refreshedVersion="8" minRefreshableVersion="3" recordCount="0" supportSubquery="1" supportAdvancedDrill="1" xr:uid="{8DA6D25C-B191-4C7A-AD37-844F2B9CAD22}">
  <cacheSource type="external" connectionId="1"/>
  <cacheFields count="2">
    <cacheField name="[Range].[smoker].[smoker]" caption="smoker" numFmtId="0" hierarchy="1" level="1">
      <sharedItems count="2">
        <s v="No"/>
        <s v="Yes"/>
      </sharedItems>
    </cacheField>
    <cacheField name="[Measures].[Sum of tip]" caption="Sum of tip" numFmtId="0" hierarchy="9" level="32767"/>
  </cacheFields>
  <cacheHierarchies count="17">
    <cacheHierarchy uniqueName="[Range].[sex]" caption="sex" attribute="1" defaultMemberUniqueName="[Range].[sex].[All]" allUniqueName="[Range].[sex].[All]" dimensionUniqueName="[Range]" displayFolder="" count="0" memberValueDatatype="130" unbalanced="0"/>
    <cacheHierarchy uniqueName="[Range].[smoker]" caption="smoker" attribute="1" defaultMemberUniqueName="[Range].[smoker].[All]" allUniqueName="[Range].[smoker].[All]" dimensionUniqueName="[Range]" displayFolder="" count="2" memberValueDatatype="130" unbalanced="0">
      <fieldsUsage count="2">
        <fieldUsage x="-1"/>
        <fieldUsage x="0"/>
      </fieldsUsage>
    </cacheHierarchy>
    <cacheHierarchy uniqueName="[Range].[day]" caption="day" attribute="1" defaultMemberUniqueName="[Range].[day].[All]" allUniqueName="[Range].[day].[All]" dimensionUniqueName="[Range]" displayFolder="" count="0" memberValueDatatype="130" unbalanced="0"/>
    <cacheHierarchy uniqueName="[Range].[time]" caption="time" attribute="1" defaultMemberUniqueName="[Range].[time].[All]" allUniqueName="[Range].[time].[All]" dimensionUniqueName="[Range]" displayFolder="" count="0" memberValueDatatype="130" unbalanced="0"/>
    <cacheHierarchy uniqueName="[Range].[size]" caption="size" attribute="1" defaultMemberUniqueName="[Range].[size].[All]" allUniqueName="[Range].[size].[All]" dimensionUniqueName="[Range]" displayFolder="" count="0" memberValueDatatype="20" unbalanced="0"/>
    <cacheHierarchy uniqueName="[Range].[total_bill]" caption="total_bill" attribute="1" defaultMemberUniqueName="[Range].[total_bill].[All]" allUniqueName="[Range].[total_bill].[All]" dimensionUniqueName="[Range]" displayFolder="" count="0" memberValueDatatype="5" unbalanced="0"/>
    <cacheHierarchy uniqueName="[Range].[tip]" caption="tip" attribute="1" defaultMemberUniqueName="[Range].[tip].[All]" allUniqueName="[Range].[tip].[All]" dimensionUniqueName="[Range]" displayFolder="" count="0" memberValueDatatype="5" unbalanced="0"/>
    <cacheHierarchy uniqueName="[Measures].[__XL_Count Range]" caption="__XL_Count Range" measure="1" displayFolder="" measureGroup="Range" count="0" hidden="1"/>
    <cacheHierarchy uniqueName="[Measures].[__No measures defined]" caption="__No measures defined" measure="1" displayFolder="" count="0" hidden="1"/>
    <cacheHierarchy uniqueName="[Measures].[Sum of tip]" caption="Sum of tip" measure="1" displayFolder="" measureGroup="Range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total_bill]" caption="Sum of total_bill" measure="1" displayFolder="" measureGroup="Range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Count of smoker]" caption="Count of smoker" measure="1" displayFolder="" measureGroup="Range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Sum of size]" caption="Sum of size" measure="1" displayFolder="" measureGroup="Range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Average of size]" caption="Average of size" measure="1" displayFolder="" measureGroup="Range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Average of total_bill]" caption="Average of total_bill" measure="1" displayFolder="" measureGroup="Range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Count of day]" caption="Count of day" measure="1" displayFolder="" measureGroup="Range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Count of size]" caption="Count of size" measure="1" displayFolder="" measureGroup="Range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</cacheHierarchies>
  <kpis count="0"/>
  <dimensions count="2">
    <dimension measure="1" name="Measures" uniqueName="[Measures]" caption="Measures"/>
    <dimension name="Range" uniqueName="[Range]" caption="Range"/>
  </dimensions>
  <measureGroups count="1">
    <measureGroup name="Range" caption="Range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HOME" refreshedDate="46196.785076736109" backgroundQuery="1" createdVersion="8" refreshedVersion="8" minRefreshableVersion="3" recordCount="0" supportSubquery="1" supportAdvancedDrill="1" xr:uid="{5BACE192-184C-4E65-B0CC-8F9D7C87999F}">
  <cacheSource type="external" connectionId="1"/>
  <cacheFields count="3">
    <cacheField name="[Range].[sex].[sex]" caption="sex" numFmtId="0" level="1">
      <sharedItems count="2">
        <s v="Female"/>
        <s v="Male"/>
      </sharedItems>
    </cacheField>
    <cacheField name="[Measures].[Sum of tip]" caption="Sum of tip" numFmtId="0" hierarchy="9" level="32767"/>
    <cacheField name="[Measures].[Sum of total_bill]" caption="Sum of total_bill" numFmtId="0" hierarchy="10" level="32767"/>
  </cacheFields>
  <cacheHierarchies count="17">
    <cacheHierarchy uniqueName="[Range].[sex]" caption="sex" attribute="1" defaultMemberUniqueName="[Range].[sex].[All]" allUniqueName="[Range].[sex].[All]" dimensionUniqueName="[Range]" displayFolder="" count="2" memberValueDatatype="130" unbalanced="0">
      <fieldsUsage count="2">
        <fieldUsage x="-1"/>
        <fieldUsage x="0"/>
      </fieldsUsage>
    </cacheHierarchy>
    <cacheHierarchy uniqueName="[Range].[smoker]" caption="smoker" attribute="1" defaultMemberUniqueName="[Range].[smoker].[All]" allUniqueName="[Range].[smoker].[All]" dimensionUniqueName="[Range]" displayFolder="" count="0" memberValueDatatype="130" unbalanced="0"/>
    <cacheHierarchy uniqueName="[Range].[day]" caption="day" attribute="1" defaultMemberUniqueName="[Range].[day].[All]" allUniqueName="[Range].[day].[All]" dimensionUniqueName="[Range]" displayFolder="" count="0" memberValueDatatype="130" unbalanced="0"/>
    <cacheHierarchy uniqueName="[Range].[time]" caption="time" attribute="1" defaultMemberUniqueName="[Range].[time].[All]" allUniqueName="[Range].[time].[All]" dimensionUniqueName="[Range]" displayFolder="" count="0" memberValueDatatype="130" unbalanced="0"/>
    <cacheHierarchy uniqueName="[Range].[size]" caption="size" attribute="1" defaultMemberUniqueName="[Range].[size].[All]" allUniqueName="[Range].[size].[All]" dimensionUniqueName="[Range]" displayFolder="" count="0" memberValueDatatype="20" unbalanced="0"/>
    <cacheHierarchy uniqueName="[Range].[total_bill]" caption="total_bill" attribute="1" defaultMemberUniqueName="[Range].[total_bill].[All]" allUniqueName="[Range].[total_bill].[All]" dimensionUniqueName="[Range]" displayFolder="" count="0" memberValueDatatype="5" unbalanced="0"/>
    <cacheHierarchy uniqueName="[Range].[tip]" caption="tip" attribute="1" defaultMemberUniqueName="[Range].[tip].[All]" allUniqueName="[Range].[tip].[All]" dimensionUniqueName="[Range]" displayFolder="" count="0" memberValueDatatype="5" unbalanced="0"/>
    <cacheHierarchy uniqueName="[Measures].[__XL_Count Range]" caption="__XL_Count Range" measure="1" displayFolder="" measureGroup="Range" count="0" hidden="1"/>
    <cacheHierarchy uniqueName="[Measures].[__No measures defined]" caption="__No measures defined" measure="1" displayFolder="" count="0" hidden="1"/>
    <cacheHierarchy uniqueName="[Measures].[Sum of tip]" caption="Sum of tip" measure="1" displayFolder="" measureGroup="Range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total_bill]" caption="Sum of total_bill" measure="1" displayFolder="" measureGroup="Range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Count of smoker]" caption="Count of smoker" measure="1" displayFolder="" measureGroup="Range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Sum of size]" caption="Sum of size" measure="1" displayFolder="" measureGroup="Range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Average of size]" caption="Average of size" measure="1" displayFolder="" measureGroup="Range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Average of total_bill]" caption="Average of total_bill" measure="1" displayFolder="" measureGroup="Range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Count of day]" caption="Count of day" measure="1" displayFolder="" measureGroup="Range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Count of size]" caption="Count of size" measure="1" displayFolder="" measureGroup="Range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</cacheHierarchies>
  <kpis count="0"/>
  <dimensions count="2">
    <dimension measure="1" name="Measures" uniqueName="[Measures]" caption="Measures"/>
    <dimension name="Range" uniqueName="[Range]" caption="Range"/>
  </dimensions>
  <measureGroups count="1">
    <measureGroup name="Range" caption="Range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3">
  <r>
    <x v="0"/>
    <x v="0"/>
    <x v="0"/>
    <x v="0"/>
    <n v="2"/>
    <n v="16.989999999999998"/>
    <x v="0"/>
  </r>
  <r>
    <x v="1"/>
    <x v="0"/>
    <x v="0"/>
    <x v="0"/>
    <n v="3"/>
    <n v="10.34"/>
    <x v="1"/>
  </r>
  <r>
    <x v="1"/>
    <x v="0"/>
    <x v="0"/>
    <x v="0"/>
    <n v="3"/>
    <n v="21.01"/>
    <x v="2"/>
  </r>
  <r>
    <x v="1"/>
    <x v="0"/>
    <x v="0"/>
    <x v="0"/>
    <n v="2"/>
    <n v="23.68"/>
    <x v="3"/>
  </r>
  <r>
    <x v="0"/>
    <x v="0"/>
    <x v="0"/>
    <x v="0"/>
    <n v="4"/>
    <n v="24.59"/>
    <x v="4"/>
  </r>
  <r>
    <x v="1"/>
    <x v="0"/>
    <x v="0"/>
    <x v="0"/>
    <n v="4"/>
    <n v="25.29"/>
    <x v="5"/>
  </r>
  <r>
    <x v="1"/>
    <x v="0"/>
    <x v="0"/>
    <x v="0"/>
    <n v="2"/>
    <n v="8.77"/>
    <x v="6"/>
  </r>
  <r>
    <x v="1"/>
    <x v="0"/>
    <x v="0"/>
    <x v="0"/>
    <n v="4"/>
    <n v="26.88"/>
    <x v="7"/>
  </r>
  <r>
    <x v="1"/>
    <x v="0"/>
    <x v="0"/>
    <x v="0"/>
    <n v="2"/>
    <n v="15.04"/>
    <x v="8"/>
  </r>
  <r>
    <x v="1"/>
    <x v="0"/>
    <x v="0"/>
    <x v="0"/>
    <n v="2"/>
    <n v="14.78"/>
    <x v="9"/>
  </r>
  <r>
    <x v="1"/>
    <x v="0"/>
    <x v="0"/>
    <x v="0"/>
    <n v="2"/>
    <n v="10.27"/>
    <x v="10"/>
  </r>
  <r>
    <x v="0"/>
    <x v="0"/>
    <x v="0"/>
    <x v="0"/>
    <n v="4"/>
    <n v="35.26"/>
    <x v="11"/>
  </r>
  <r>
    <x v="1"/>
    <x v="0"/>
    <x v="0"/>
    <x v="0"/>
    <n v="2"/>
    <n v="15.42"/>
    <x v="12"/>
  </r>
  <r>
    <x v="1"/>
    <x v="0"/>
    <x v="0"/>
    <x v="0"/>
    <n v="4"/>
    <n v="18.43"/>
    <x v="13"/>
  </r>
  <r>
    <x v="0"/>
    <x v="0"/>
    <x v="0"/>
    <x v="0"/>
    <n v="2"/>
    <n v="14.83"/>
    <x v="14"/>
  </r>
  <r>
    <x v="1"/>
    <x v="0"/>
    <x v="0"/>
    <x v="0"/>
    <n v="2"/>
    <n v="21.58"/>
    <x v="15"/>
  </r>
  <r>
    <x v="0"/>
    <x v="0"/>
    <x v="0"/>
    <x v="0"/>
    <n v="3"/>
    <n v="10.33"/>
    <x v="16"/>
  </r>
  <r>
    <x v="1"/>
    <x v="0"/>
    <x v="0"/>
    <x v="0"/>
    <n v="3"/>
    <n v="16.29"/>
    <x v="17"/>
  </r>
  <r>
    <x v="0"/>
    <x v="0"/>
    <x v="0"/>
    <x v="0"/>
    <n v="3"/>
    <n v="16.97"/>
    <x v="2"/>
  </r>
  <r>
    <x v="1"/>
    <x v="0"/>
    <x v="1"/>
    <x v="0"/>
    <n v="3"/>
    <n v="20.65"/>
    <x v="18"/>
  </r>
  <r>
    <x v="1"/>
    <x v="0"/>
    <x v="1"/>
    <x v="0"/>
    <n v="2"/>
    <n v="17.920000000000002"/>
    <x v="19"/>
  </r>
  <r>
    <x v="0"/>
    <x v="0"/>
    <x v="1"/>
    <x v="0"/>
    <n v="2"/>
    <n v="20.29"/>
    <x v="20"/>
  </r>
  <r>
    <x v="0"/>
    <x v="0"/>
    <x v="1"/>
    <x v="0"/>
    <n v="2"/>
    <n v="15.77"/>
    <x v="21"/>
  </r>
  <r>
    <x v="1"/>
    <x v="0"/>
    <x v="1"/>
    <x v="0"/>
    <n v="4"/>
    <n v="39.42"/>
    <x v="22"/>
  </r>
  <r>
    <x v="1"/>
    <x v="0"/>
    <x v="1"/>
    <x v="0"/>
    <n v="2"/>
    <n v="19.82"/>
    <x v="23"/>
  </r>
  <r>
    <x v="1"/>
    <x v="0"/>
    <x v="1"/>
    <x v="0"/>
    <n v="4"/>
    <n v="17.809999999999999"/>
    <x v="24"/>
  </r>
  <r>
    <x v="1"/>
    <x v="0"/>
    <x v="1"/>
    <x v="0"/>
    <n v="2"/>
    <n v="13.37"/>
    <x v="6"/>
  </r>
  <r>
    <x v="1"/>
    <x v="0"/>
    <x v="1"/>
    <x v="0"/>
    <n v="2"/>
    <n v="12.69"/>
    <x v="6"/>
  </r>
  <r>
    <x v="1"/>
    <x v="0"/>
    <x v="1"/>
    <x v="0"/>
    <n v="2"/>
    <n v="21.7"/>
    <x v="25"/>
  </r>
  <r>
    <x v="0"/>
    <x v="0"/>
    <x v="1"/>
    <x v="0"/>
    <n v="2"/>
    <n v="19.649999999999999"/>
    <x v="13"/>
  </r>
  <r>
    <x v="1"/>
    <x v="0"/>
    <x v="1"/>
    <x v="0"/>
    <n v="2"/>
    <n v="9.5500000000000007"/>
    <x v="26"/>
  </r>
  <r>
    <x v="1"/>
    <x v="0"/>
    <x v="1"/>
    <x v="0"/>
    <n v="4"/>
    <n v="18.350000000000001"/>
    <x v="27"/>
  </r>
  <r>
    <x v="0"/>
    <x v="0"/>
    <x v="1"/>
    <x v="0"/>
    <n v="2"/>
    <n v="15.06"/>
    <x v="13"/>
  </r>
  <r>
    <x v="0"/>
    <x v="0"/>
    <x v="1"/>
    <x v="0"/>
    <n v="4"/>
    <n v="20.69"/>
    <x v="28"/>
  </r>
  <r>
    <x v="1"/>
    <x v="0"/>
    <x v="1"/>
    <x v="0"/>
    <n v="2"/>
    <n v="17.78"/>
    <x v="29"/>
  </r>
  <r>
    <x v="1"/>
    <x v="0"/>
    <x v="1"/>
    <x v="0"/>
    <n v="3"/>
    <n v="24.06"/>
    <x v="30"/>
  </r>
  <r>
    <x v="1"/>
    <x v="0"/>
    <x v="1"/>
    <x v="0"/>
    <n v="3"/>
    <n v="16.309999999999999"/>
    <x v="6"/>
  </r>
  <r>
    <x v="0"/>
    <x v="0"/>
    <x v="1"/>
    <x v="0"/>
    <n v="3"/>
    <n v="16.93"/>
    <x v="31"/>
  </r>
  <r>
    <x v="1"/>
    <x v="0"/>
    <x v="1"/>
    <x v="0"/>
    <n v="3"/>
    <n v="18.690000000000001"/>
    <x v="32"/>
  </r>
  <r>
    <x v="1"/>
    <x v="0"/>
    <x v="1"/>
    <x v="0"/>
    <n v="3"/>
    <n v="31.27"/>
    <x v="11"/>
  </r>
  <r>
    <x v="1"/>
    <x v="0"/>
    <x v="1"/>
    <x v="0"/>
    <n v="3"/>
    <n v="16.04"/>
    <x v="33"/>
  </r>
  <r>
    <x v="1"/>
    <x v="0"/>
    <x v="0"/>
    <x v="0"/>
    <n v="2"/>
    <n v="17.46"/>
    <x v="34"/>
  </r>
  <r>
    <x v="1"/>
    <x v="0"/>
    <x v="0"/>
    <x v="0"/>
    <n v="2"/>
    <n v="13.94"/>
    <x v="35"/>
  </r>
  <r>
    <x v="1"/>
    <x v="0"/>
    <x v="0"/>
    <x v="0"/>
    <n v="2"/>
    <n v="9.68"/>
    <x v="36"/>
  </r>
  <r>
    <x v="1"/>
    <x v="0"/>
    <x v="0"/>
    <x v="0"/>
    <n v="4"/>
    <n v="30.4"/>
    <x v="37"/>
  </r>
  <r>
    <x v="1"/>
    <x v="0"/>
    <x v="0"/>
    <x v="0"/>
    <n v="2"/>
    <n v="18.29"/>
    <x v="13"/>
  </r>
  <r>
    <x v="1"/>
    <x v="0"/>
    <x v="0"/>
    <x v="0"/>
    <n v="2"/>
    <n v="22.23"/>
    <x v="11"/>
  </r>
  <r>
    <x v="1"/>
    <x v="0"/>
    <x v="0"/>
    <x v="0"/>
    <n v="4"/>
    <n v="32.4"/>
    <x v="38"/>
  </r>
  <r>
    <x v="1"/>
    <x v="0"/>
    <x v="0"/>
    <x v="0"/>
    <n v="3"/>
    <n v="28.55"/>
    <x v="39"/>
  </r>
  <r>
    <x v="1"/>
    <x v="0"/>
    <x v="0"/>
    <x v="0"/>
    <n v="2"/>
    <n v="18.04"/>
    <x v="13"/>
  </r>
  <r>
    <x v="1"/>
    <x v="0"/>
    <x v="0"/>
    <x v="0"/>
    <n v="2"/>
    <n v="12.54"/>
    <x v="27"/>
  </r>
  <r>
    <x v="0"/>
    <x v="0"/>
    <x v="0"/>
    <x v="0"/>
    <n v="2"/>
    <n v="10.29"/>
    <x v="40"/>
  </r>
  <r>
    <x v="0"/>
    <x v="0"/>
    <x v="0"/>
    <x v="0"/>
    <n v="4"/>
    <n v="34.81"/>
    <x v="41"/>
  </r>
  <r>
    <x v="1"/>
    <x v="0"/>
    <x v="0"/>
    <x v="0"/>
    <n v="2"/>
    <n v="9.94"/>
    <x v="42"/>
  </r>
  <r>
    <x v="1"/>
    <x v="0"/>
    <x v="0"/>
    <x v="0"/>
    <n v="4"/>
    <n v="25.56"/>
    <x v="43"/>
  </r>
  <r>
    <x v="1"/>
    <x v="0"/>
    <x v="0"/>
    <x v="0"/>
    <n v="2"/>
    <n v="19.489999999999998"/>
    <x v="44"/>
  </r>
  <r>
    <x v="1"/>
    <x v="1"/>
    <x v="1"/>
    <x v="0"/>
    <n v="4"/>
    <n v="38.01"/>
    <x v="13"/>
  </r>
  <r>
    <x v="0"/>
    <x v="0"/>
    <x v="1"/>
    <x v="0"/>
    <n v="2"/>
    <n v="26.41"/>
    <x v="45"/>
  </r>
  <r>
    <x v="1"/>
    <x v="1"/>
    <x v="1"/>
    <x v="0"/>
    <n v="2"/>
    <n v="11.24"/>
    <x v="46"/>
  </r>
  <r>
    <x v="1"/>
    <x v="0"/>
    <x v="1"/>
    <x v="0"/>
    <n v="4"/>
    <n v="48.27"/>
    <x v="47"/>
  </r>
  <r>
    <x v="1"/>
    <x v="1"/>
    <x v="1"/>
    <x v="0"/>
    <n v="2"/>
    <n v="20.29"/>
    <x v="48"/>
  </r>
  <r>
    <x v="1"/>
    <x v="1"/>
    <x v="1"/>
    <x v="0"/>
    <n v="2"/>
    <n v="13.81"/>
    <x v="6"/>
  </r>
  <r>
    <x v="1"/>
    <x v="1"/>
    <x v="1"/>
    <x v="0"/>
    <n v="2"/>
    <n v="11.02"/>
    <x v="49"/>
  </r>
  <r>
    <x v="1"/>
    <x v="1"/>
    <x v="1"/>
    <x v="0"/>
    <n v="4"/>
    <n v="18.29"/>
    <x v="50"/>
  </r>
  <r>
    <x v="1"/>
    <x v="0"/>
    <x v="1"/>
    <x v="0"/>
    <n v="3"/>
    <n v="17.59"/>
    <x v="51"/>
  </r>
  <r>
    <x v="1"/>
    <x v="0"/>
    <x v="1"/>
    <x v="0"/>
    <n v="3"/>
    <n v="20.079999999999998"/>
    <x v="52"/>
  </r>
  <r>
    <x v="0"/>
    <x v="0"/>
    <x v="1"/>
    <x v="0"/>
    <n v="2"/>
    <n v="16.45"/>
    <x v="53"/>
  </r>
  <r>
    <x v="0"/>
    <x v="1"/>
    <x v="1"/>
    <x v="0"/>
    <n v="1"/>
    <n v="3.07"/>
    <x v="54"/>
  </r>
  <r>
    <x v="1"/>
    <x v="0"/>
    <x v="1"/>
    <x v="0"/>
    <n v="2"/>
    <n v="20.23"/>
    <x v="55"/>
  </r>
  <r>
    <x v="1"/>
    <x v="1"/>
    <x v="1"/>
    <x v="0"/>
    <n v="2"/>
    <n v="15.01"/>
    <x v="56"/>
  </r>
  <r>
    <x v="1"/>
    <x v="0"/>
    <x v="1"/>
    <x v="0"/>
    <n v="2"/>
    <n v="12.02"/>
    <x v="57"/>
  </r>
  <r>
    <x v="0"/>
    <x v="0"/>
    <x v="1"/>
    <x v="0"/>
    <n v="3"/>
    <n v="17.07"/>
    <x v="13"/>
  </r>
  <r>
    <x v="0"/>
    <x v="1"/>
    <x v="1"/>
    <x v="0"/>
    <n v="2"/>
    <n v="26.86"/>
    <x v="58"/>
  </r>
  <r>
    <x v="0"/>
    <x v="1"/>
    <x v="1"/>
    <x v="0"/>
    <n v="2"/>
    <n v="25.28"/>
    <x v="11"/>
  </r>
  <r>
    <x v="0"/>
    <x v="0"/>
    <x v="1"/>
    <x v="0"/>
    <n v="2"/>
    <n v="14.73"/>
    <x v="59"/>
  </r>
  <r>
    <x v="1"/>
    <x v="0"/>
    <x v="1"/>
    <x v="0"/>
    <n v="2"/>
    <n v="10.51"/>
    <x v="60"/>
  </r>
  <r>
    <x v="1"/>
    <x v="1"/>
    <x v="1"/>
    <x v="0"/>
    <n v="2"/>
    <n v="17.920000000000002"/>
    <x v="61"/>
  </r>
  <r>
    <x v="1"/>
    <x v="0"/>
    <x v="2"/>
    <x v="1"/>
    <n v="4"/>
    <n v="27.2"/>
    <x v="62"/>
  </r>
  <r>
    <x v="1"/>
    <x v="0"/>
    <x v="2"/>
    <x v="1"/>
    <n v="2"/>
    <n v="22.76"/>
    <x v="13"/>
  </r>
  <r>
    <x v="1"/>
    <x v="0"/>
    <x v="2"/>
    <x v="1"/>
    <n v="2"/>
    <n v="17.29"/>
    <x v="63"/>
  </r>
  <r>
    <x v="1"/>
    <x v="1"/>
    <x v="2"/>
    <x v="1"/>
    <n v="2"/>
    <n v="19.440000000000001"/>
    <x v="13"/>
  </r>
  <r>
    <x v="1"/>
    <x v="0"/>
    <x v="2"/>
    <x v="1"/>
    <n v="2"/>
    <n v="16.66"/>
    <x v="64"/>
  </r>
  <r>
    <x v="0"/>
    <x v="0"/>
    <x v="2"/>
    <x v="1"/>
    <n v="1"/>
    <n v="10.07"/>
    <x v="65"/>
  </r>
  <r>
    <x v="1"/>
    <x v="1"/>
    <x v="2"/>
    <x v="1"/>
    <n v="2"/>
    <n v="32.68"/>
    <x v="11"/>
  </r>
  <r>
    <x v="1"/>
    <x v="0"/>
    <x v="2"/>
    <x v="1"/>
    <n v="2"/>
    <n v="15.98"/>
    <x v="66"/>
  </r>
  <r>
    <x v="0"/>
    <x v="0"/>
    <x v="2"/>
    <x v="1"/>
    <n v="4"/>
    <n v="34.83"/>
    <x v="67"/>
  </r>
  <r>
    <x v="1"/>
    <x v="0"/>
    <x v="2"/>
    <x v="1"/>
    <n v="2"/>
    <n v="13.03"/>
    <x v="6"/>
  </r>
  <r>
    <x v="1"/>
    <x v="0"/>
    <x v="2"/>
    <x v="1"/>
    <n v="2"/>
    <n v="18.28"/>
    <x v="62"/>
  </r>
  <r>
    <x v="1"/>
    <x v="0"/>
    <x v="2"/>
    <x v="1"/>
    <n v="2"/>
    <n v="24.71"/>
    <x v="68"/>
  </r>
  <r>
    <x v="1"/>
    <x v="0"/>
    <x v="2"/>
    <x v="1"/>
    <n v="2"/>
    <n v="21.16"/>
    <x v="13"/>
  </r>
  <r>
    <x v="1"/>
    <x v="1"/>
    <x v="3"/>
    <x v="0"/>
    <n v="2"/>
    <n v="28.97"/>
    <x v="13"/>
  </r>
  <r>
    <x v="1"/>
    <x v="0"/>
    <x v="3"/>
    <x v="0"/>
    <n v="2"/>
    <n v="22.49"/>
    <x v="2"/>
  </r>
  <r>
    <x v="0"/>
    <x v="1"/>
    <x v="3"/>
    <x v="0"/>
    <n v="2"/>
    <n v="5.75"/>
    <x v="54"/>
  </r>
  <r>
    <x v="0"/>
    <x v="1"/>
    <x v="3"/>
    <x v="0"/>
    <n v="2"/>
    <n v="16.32"/>
    <x v="25"/>
  </r>
  <r>
    <x v="0"/>
    <x v="0"/>
    <x v="3"/>
    <x v="0"/>
    <n v="2"/>
    <n v="22.75"/>
    <x v="69"/>
  </r>
  <r>
    <x v="1"/>
    <x v="1"/>
    <x v="3"/>
    <x v="0"/>
    <n v="4"/>
    <n v="40.17"/>
    <x v="70"/>
  </r>
  <r>
    <x v="1"/>
    <x v="1"/>
    <x v="3"/>
    <x v="0"/>
    <n v="2"/>
    <n v="27.28"/>
    <x v="62"/>
  </r>
  <r>
    <x v="1"/>
    <x v="1"/>
    <x v="3"/>
    <x v="0"/>
    <n v="2"/>
    <n v="12.03"/>
    <x v="45"/>
  </r>
  <r>
    <x v="1"/>
    <x v="1"/>
    <x v="3"/>
    <x v="0"/>
    <n v="2"/>
    <n v="21.01"/>
    <x v="13"/>
  </r>
  <r>
    <x v="1"/>
    <x v="0"/>
    <x v="3"/>
    <x v="0"/>
    <n v="2"/>
    <n v="12.46"/>
    <x v="45"/>
  </r>
  <r>
    <x v="0"/>
    <x v="1"/>
    <x v="3"/>
    <x v="0"/>
    <n v="2"/>
    <n v="11.35"/>
    <x v="27"/>
  </r>
  <r>
    <x v="0"/>
    <x v="1"/>
    <x v="3"/>
    <x v="0"/>
    <n v="2"/>
    <n v="15.38"/>
    <x v="13"/>
  </r>
  <r>
    <x v="0"/>
    <x v="1"/>
    <x v="1"/>
    <x v="0"/>
    <n v="3"/>
    <n v="44.3"/>
    <x v="27"/>
  </r>
  <r>
    <x v="0"/>
    <x v="1"/>
    <x v="1"/>
    <x v="0"/>
    <n v="2"/>
    <n v="22.42"/>
    <x v="71"/>
  </r>
  <r>
    <x v="0"/>
    <x v="0"/>
    <x v="1"/>
    <x v="0"/>
    <n v="2"/>
    <n v="20.92"/>
    <x v="19"/>
  </r>
  <r>
    <x v="1"/>
    <x v="1"/>
    <x v="1"/>
    <x v="0"/>
    <n v="2"/>
    <n v="15.36"/>
    <x v="72"/>
  </r>
  <r>
    <x v="1"/>
    <x v="1"/>
    <x v="1"/>
    <x v="0"/>
    <n v="2"/>
    <n v="20.49"/>
    <x v="73"/>
  </r>
  <r>
    <x v="1"/>
    <x v="1"/>
    <x v="1"/>
    <x v="0"/>
    <n v="2"/>
    <n v="25.21"/>
    <x v="74"/>
  </r>
  <r>
    <x v="1"/>
    <x v="0"/>
    <x v="1"/>
    <x v="0"/>
    <n v="2"/>
    <n v="18.239999999999998"/>
    <x v="50"/>
  </r>
  <r>
    <x v="0"/>
    <x v="1"/>
    <x v="1"/>
    <x v="0"/>
    <n v="2"/>
    <n v="14.31"/>
    <x v="62"/>
  </r>
  <r>
    <x v="1"/>
    <x v="0"/>
    <x v="1"/>
    <x v="0"/>
    <n v="2"/>
    <n v="14"/>
    <x v="13"/>
  </r>
  <r>
    <x v="0"/>
    <x v="0"/>
    <x v="1"/>
    <x v="0"/>
    <n v="1"/>
    <n v="7.25"/>
    <x v="54"/>
  </r>
  <r>
    <x v="1"/>
    <x v="0"/>
    <x v="0"/>
    <x v="0"/>
    <n v="3"/>
    <n v="38.07"/>
    <x v="62"/>
  </r>
  <r>
    <x v="1"/>
    <x v="0"/>
    <x v="0"/>
    <x v="0"/>
    <n v="2"/>
    <n v="23.95"/>
    <x v="75"/>
  </r>
  <r>
    <x v="0"/>
    <x v="0"/>
    <x v="0"/>
    <x v="0"/>
    <n v="3"/>
    <n v="25.71"/>
    <x v="62"/>
  </r>
  <r>
    <x v="0"/>
    <x v="0"/>
    <x v="0"/>
    <x v="0"/>
    <n v="2"/>
    <n v="17.309999999999999"/>
    <x v="2"/>
  </r>
  <r>
    <x v="1"/>
    <x v="0"/>
    <x v="0"/>
    <x v="0"/>
    <n v="4"/>
    <n v="29.93"/>
    <x v="76"/>
  </r>
  <r>
    <x v="0"/>
    <x v="0"/>
    <x v="2"/>
    <x v="1"/>
    <n v="2"/>
    <n v="10.65"/>
    <x v="45"/>
  </r>
  <r>
    <x v="0"/>
    <x v="0"/>
    <x v="2"/>
    <x v="1"/>
    <n v="2"/>
    <n v="12.43"/>
    <x v="77"/>
  </r>
  <r>
    <x v="0"/>
    <x v="0"/>
    <x v="2"/>
    <x v="1"/>
    <n v="4"/>
    <n v="24.08"/>
    <x v="78"/>
  </r>
  <r>
    <x v="1"/>
    <x v="0"/>
    <x v="2"/>
    <x v="1"/>
    <n v="2"/>
    <n v="11.69"/>
    <x v="32"/>
  </r>
  <r>
    <x v="0"/>
    <x v="0"/>
    <x v="2"/>
    <x v="1"/>
    <n v="2"/>
    <n v="13.42"/>
    <x v="79"/>
  </r>
  <r>
    <x v="1"/>
    <x v="0"/>
    <x v="2"/>
    <x v="1"/>
    <n v="2"/>
    <n v="14.26"/>
    <x v="27"/>
  </r>
  <r>
    <x v="1"/>
    <x v="0"/>
    <x v="2"/>
    <x v="1"/>
    <n v="2"/>
    <n v="15.95"/>
    <x v="6"/>
  </r>
  <r>
    <x v="0"/>
    <x v="0"/>
    <x v="2"/>
    <x v="1"/>
    <n v="2"/>
    <n v="12.48"/>
    <x v="80"/>
  </r>
  <r>
    <x v="0"/>
    <x v="0"/>
    <x v="2"/>
    <x v="1"/>
    <n v="6"/>
    <n v="29.8"/>
    <x v="81"/>
  </r>
  <r>
    <x v="1"/>
    <x v="0"/>
    <x v="2"/>
    <x v="1"/>
    <n v="2"/>
    <n v="8.52"/>
    <x v="82"/>
  </r>
  <r>
    <x v="0"/>
    <x v="0"/>
    <x v="2"/>
    <x v="1"/>
    <n v="2"/>
    <n v="14.52"/>
    <x v="6"/>
  </r>
  <r>
    <x v="0"/>
    <x v="0"/>
    <x v="2"/>
    <x v="1"/>
    <n v="2"/>
    <n v="11.38"/>
    <x v="6"/>
  </r>
  <r>
    <x v="1"/>
    <x v="0"/>
    <x v="2"/>
    <x v="1"/>
    <n v="3"/>
    <n v="22.82"/>
    <x v="83"/>
  </r>
  <r>
    <x v="1"/>
    <x v="0"/>
    <x v="2"/>
    <x v="1"/>
    <n v="2"/>
    <n v="19.079999999999998"/>
    <x v="45"/>
  </r>
  <r>
    <x v="0"/>
    <x v="0"/>
    <x v="2"/>
    <x v="1"/>
    <n v="2"/>
    <n v="20.27"/>
    <x v="84"/>
  </r>
  <r>
    <x v="0"/>
    <x v="0"/>
    <x v="2"/>
    <x v="1"/>
    <n v="2"/>
    <n v="11.17"/>
    <x v="45"/>
  </r>
  <r>
    <x v="0"/>
    <x v="0"/>
    <x v="2"/>
    <x v="1"/>
    <n v="2"/>
    <n v="12.26"/>
    <x v="6"/>
  </r>
  <r>
    <x v="0"/>
    <x v="0"/>
    <x v="2"/>
    <x v="1"/>
    <n v="2"/>
    <n v="18.260000000000002"/>
    <x v="69"/>
  </r>
  <r>
    <x v="0"/>
    <x v="0"/>
    <x v="2"/>
    <x v="1"/>
    <n v="2"/>
    <n v="8.51"/>
    <x v="60"/>
  </r>
  <r>
    <x v="0"/>
    <x v="0"/>
    <x v="2"/>
    <x v="1"/>
    <n v="2"/>
    <n v="10.33"/>
    <x v="6"/>
  </r>
  <r>
    <x v="0"/>
    <x v="0"/>
    <x v="2"/>
    <x v="1"/>
    <n v="2"/>
    <n v="14.15"/>
    <x v="6"/>
  </r>
  <r>
    <x v="1"/>
    <x v="1"/>
    <x v="2"/>
    <x v="1"/>
    <n v="2"/>
    <n v="16"/>
    <x v="6"/>
  </r>
  <r>
    <x v="0"/>
    <x v="0"/>
    <x v="2"/>
    <x v="1"/>
    <n v="2"/>
    <n v="13.16"/>
    <x v="20"/>
  </r>
  <r>
    <x v="0"/>
    <x v="0"/>
    <x v="2"/>
    <x v="1"/>
    <n v="2"/>
    <n v="17.47"/>
    <x v="2"/>
  </r>
  <r>
    <x v="1"/>
    <x v="0"/>
    <x v="2"/>
    <x v="1"/>
    <n v="6"/>
    <n v="34.299999999999997"/>
    <x v="85"/>
  </r>
  <r>
    <x v="1"/>
    <x v="0"/>
    <x v="2"/>
    <x v="1"/>
    <n v="5"/>
    <n v="41.19"/>
    <x v="11"/>
  </r>
  <r>
    <x v="0"/>
    <x v="0"/>
    <x v="2"/>
    <x v="1"/>
    <n v="6"/>
    <n v="27.05"/>
    <x v="11"/>
  </r>
  <r>
    <x v="0"/>
    <x v="0"/>
    <x v="2"/>
    <x v="1"/>
    <n v="2"/>
    <n v="16.43"/>
    <x v="86"/>
  </r>
  <r>
    <x v="0"/>
    <x v="0"/>
    <x v="2"/>
    <x v="1"/>
    <n v="2"/>
    <n v="8.35"/>
    <x v="45"/>
  </r>
  <r>
    <x v="0"/>
    <x v="0"/>
    <x v="2"/>
    <x v="1"/>
    <n v="3"/>
    <n v="18.64"/>
    <x v="87"/>
  </r>
  <r>
    <x v="0"/>
    <x v="0"/>
    <x v="2"/>
    <x v="1"/>
    <n v="2"/>
    <n v="11.87"/>
    <x v="88"/>
  </r>
  <r>
    <x v="1"/>
    <x v="0"/>
    <x v="2"/>
    <x v="1"/>
    <n v="2"/>
    <n v="9.7799999999999994"/>
    <x v="89"/>
  </r>
  <r>
    <x v="1"/>
    <x v="0"/>
    <x v="2"/>
    <x v="1"/>
    <n v="2"/>
    <n v="7.51"/>
    <x v="6"/>
  </r>
  <r>
    <x v="1"/>
    <x v="0"/>
    <x v="0"/>
    <x v="0"/>
    <n v="2"/>
    <n v="14.07"/>
    <x v="27"/>
  </r>
  <r>
    <x v="1"/>
    <x v="0"/>
    <x v="0"/>
    <x v="0"/>
    <n v="2"/>
    <n v="13.13"/>
    <x v="6"/>
  </r>
  <r>
    <x v="1"/>
    <x v="0"/>
    <x v="0"/>
    <x v="0"/>
    <n v="3"/>
    <n v="17.260000000000002"/>
    <x v="90"/>
  </r>
  <r>
    <x v="1"/>
    <x v="0"/>
    <x v="0"/>
    <x v="0"/>
    <n v="4"/>
    <n v="24.55"/>
    <x v="6"/>
  </r>
  <r>
    <x v="1"/>
    <x v="0"/>
    <x v="0"/>
    <x v="0"/>
    <n v="4"/>
    <n v="19.77"/>
    <x v="6"/>
  </r>
  <r>
    <x v="0"/>
    <x v="0"/>
    <x v="0"/>
    <x v="0"/>
    <n v="5"/>
    <n v="29.85"/>
    <x v="91"/>
  </r>
  <r>
    <x v="1"/>
    <x v="0"/>
    <x v="0"/>
    <x v="0"/>
    <n v="6"/>
    <n v="48.17"/>
    <x v="11"/>
  </r>
  <r>
    <x v="0"/>
    <x v="0"/>
    <x v="0"/>
    <x v="0"/>
    <n v="4"/>
    <n v="25"/>
    <x v="92"/>
  </r>
  <r>
    <x v="0"/>
    <x v="0"/>
    <x v="0"/>
    <x v="0"/>
    <n v="2"/>
    <n v="13.39"/>
    <x v="93"/>
  </r>
  <r>
    <x v="1"/>
    <x v="0"/>
    <x v="0"/>
    <x v="0"/>
    <n v="4"/>
    <n v="16.489999999999998"/>
    <x v="6"/>
  </r>
  <r>
    <x v="1"/>
    <x v="0"/>
    <x v="0"/>
    <x v="0"/>
    <n v="4"/>
    <n v="21.5"/>
    <x v="2"/>
  </r>
  <r>
    <x v="1"/>
    <x v="0"/>
    <x v="0"/>
    <x v="0"/>
    <n v="2"/>
    <n v="12.66"/>
    <x v="27"/>
  </r>
  <r>
    <x v="0"/>
    <x v="0"/>
    <x v="0"/>
    <x v="0"/>
    <n v="3"/>
    <n v="16.21"/>
    <x v="6"/>
  </r>
  <r>
    <x v="1"/>
    <x v="0"/>
    <x v="0"/>
    <x v="0"/>
    <n v="2"/>
    <n v="13.81"/>
    <x v="6"/>
  </r>
  <r>
    <x v="0"/>
    <x v="1"/>
    <x v="0"/>
    <x v="0"/>
    <n v="2"/>
    <n v="17.510000000000002"/>
    <x v="13"/>
  </r>
  <r>
    <x v="1"/>
    <x v="0"/>
    <x v="0"/>
    <x v="0"/>
    <n v="3"/>
    <n v="24.52"/>
    <x v="71"/>
  </r>
  <r>
    <x v="1"/>
    <x v="0"/>
    <x v="0"/>
    <x v="0"/>
    <n v="2"/>
    <n v="20.76"/>
    <x v="33"/>
  </r>
  <r>
    <x v="1"/>
    <x v="0"/>
    <x v="0"/>
    <x v="0"/>
    <n v="4"/>
    <n v="31.71"/>
    <x v="94"/>
  </r>
  <r>
    <x v="0"/>
    <x v="1"/>
    <x v="1"/>
    <x v="0"/>
    <n v="2"/>
    <n v="10.59"/>
    <x v="95"/>
  </r>
  <r>
    <x v="0"/>
    <x v="1"/>
    <x v="1"/>
    <x v="0"/>
    <n v="2"/>
    <n v="10.63"/>
    <x v="6"/>
  </r>
  <r>
    <x v="1"/>
    <x v="1"/>
    <x v="1"/>
    <x v="0"/>
    <n v="3"/>
    <n v="50.81"/>
    <x v="96"/>
  </r>
  <r>
    <x v="1"/>
    <x v="1"/>
    <x v="1"/>
    <x v="0"/>
    <n v="2"/>
    <n v="15.81"/>
    <x v="97"/>
  </r>
  <r>
    <x v="1"/>
    <x v="1"/>
    <x v="0"/>
    <x v="0"/>
    <n v="2"/>
    <n v="7.25"/>
    <x v="98"/>
  </r>
  <r>
    <x v="1"/>
    <x v="1"/>
    <x v="0"/>
    <x v="0"/>
    <n v="2"/>
    <n v="31.85"/>
    <x v="23"/>
  </r>
  <r>
    <x v="1"/>
    <x v="1"/>
    <x v="0"/>
    <x v="0"/>
    <n v="2"/>
    <n v="16.82"/>
    <x v="62"/>
  </r>
  <r>
    <x v="1"/>
    <x v="1"/>
    <x v="0"/>
    <x v="0"/>
    <n v="2"/>
    <n v="32.9"/>
    <x v="99"/>
  </r>
  <r>
    <x v="1"/>
    <x v="1"/>
    <x v="0"/>
    <x v="0"/>
    <n v="2"/>
    <n v="17.89"/>
    <x v="6"/>
  </r>
  <r>
    <x v="1"/>
    <x v="1"/>
    <x v="0"/>
    <x v="0"/>
    <n v="2"/>
    <n v="14.48"/>
    <x v="6"/>
  </r>
  <r>
    <x v="0"/>
    <x v="1"/>
    <x v="0"/>
    <x v="0"/>
    <n v="2"/>
    <n v="9.6"/>
    <x v="62"/>
  </r>
  <r>
    <x v="1"/>
    <x v="1"/>
    <x v="0"/>
    <x v="0"/>
    <n v="2"/>
    <n v="34.630000000000003"/>
    <x v="100"/>
  </r>
  <r>
    <x v="1"/>
    <x v="1"/>
    <x v="0"/>
    <x v="0"/>
    <n v="4"/>
    <n v="34.65"/>
    <x v="101"/>
  </r>
  <r>
    <x v="1"/>
    <x v="1"/>
    <x v="0"/>
    <x v="0"/>
    <n v="2"/>
    <n v="23.33"/>
    <x v="102"/>
  </r>
  <r>
    <x v="1"/>
    <x v="1"/>
    <x v="0"/>
    <x v="0"/>
    <n v="3"/>
    <n v="45.35"/>
    <x v="2"/>
  </r>
  <r>
    <x v="1"/>
    <x v="1"/>
    <x v="0"/>
    <x v="0"/>
    <n v="4"/>
    <n v="23.17"/>
    <x v="103"/>
  </r>
  <r>
    <x v="1"/>
    <x v="1"/>
    <x v="0"/>
    <x v="0"/>
    <n v="2"/>
    <n v="40.549999999999997"/>
    <x v="13"/>
  </r>
  <r>
    <x v="1"/>
    <x v="0"/>
    <x v="0"/>
    <x v="0"/>
    <n v="5"/>
    <n v="20.69"/>
    <x v="11"/>
  </r>
  <r>
    <x v="0"/>
    <x v="1"/>
    <x v="0"/>
    <x v="0"/>
    <n v="3"/>
    <n v="20.9"/>
    <x v="2"/>
  </r>
  <r>
    <x v="1"/>
    <x v="1"/>
    <x v="0"/>
    <x v="0"/>
    <n v="5"/>
    <n v="30.46"/>
    <x v="6"/>
  </r>
  <r>
    <x v="0"/>
    <x v="1"/>
    <x v="0"/>
    <x v="0"/>
    <n v="3"/>
    <n v="18.149999999999999"/>
    <x v="2"/>
  </r>
  <r>
    <x v="1"/>
    <x v="1"/>
    <x v="0"/>
    <x v="0"/>
    <n v="3"/>
    <n v="23.1"/>
    <x v="62"/>
  </r>
  <r>
    <x v="1"/>
    <x v="1"/>
    <x v="0"/>
    <x v="0"/>
    <n v="2"/>
    <n v="15.69"/>
    <x v="45"/>
  </r>
  <r>
    <x v="0"/>
    <x v="1"/>
    <x v="2"/>
    <x v="1"/>
    <n v="2"/>
    <n v="19.809999999999999"/>
    <x v="104"/>
  </r>
  <r>
    <x v="1"/>
    <x v="1"/>
    <x v="2"/>
    <x v="1"/>
    <n v="2"/>
    <n v="28.44"/>
    <x v="105"/>
  </r>
  <r>
    <x v="1"/>
    <x v="1"/>
    <x v="2"/>
    <x v="1"/>
    <n v="2"/>
    <n v="15.48"/>
    <x v="106"/>
  </r>
  <r>
    <x v="1"/>
    <x v="1"/>
    <x v="2"/>
    <x v="1"/>
    <n v="2"/>
    <n v="16.579999999999998"/>
    <x v="62"/>
  </r>
  <r>
    <x v="1"/>
    <x v="0"/>
    <x v="2"/>
    <x v="1"/>
    <n v="2"/>
    <n v="7.56"/>
    <x v="107"/>
  </r>
  <r>
    <x v="1"/>
    <x v="1"/>
    <x v="2"/>
    <x v="1"/>
    <n v="2"/>
    <n v="10.34"/>
    <x v="6"/>
  </r>
  <r>
    <x v="0"/>
    <x v="1"/>
    <x v="2"/>
    <x v="1"/>
    <n v="4"/>
    <n v="43.11"/>
    <x v="11"/>
  </r>
  <r>
    <x v="0"/>
    <x v="1"/>
    <x v="2"/>
    <x v="1"/>
    <n v="2"/>
    <n v="13"/>
    <x v="6"/>
  </r>
  <r>
    <x v="1"/>
    <x v="1"/>
    <x v="2"/>
    <x v="1"/>
    <n v="2"/>
    <n v="13.51"/>
    <x v="6"/>
  </r>
  <r>
    <x v="1"/>
    <x v="1"/>
    <x v="2"/>
    <x v="1"/>
    <n v="3"/>
    <n v="18.71"/>
    <x v="62"/>
  </r>
  <r>
    <x v="0"/>
    <x v="1"/>
    <x v="2"/>
    <x v="1"/>
    <n v="2"/>
    <n v="12.74"/>
    <x v="55"/>
  </r>
  <r>
    <x v="0"/>
    <x v="1"/>
    <x v="2"/>
    <x v="1"/>
    <n v="2"/>
    <n v="16.399999999999999"/>
    <x v="27"/>
  </r>
  <r>
    <x v="1"/>
    <x v="1"/>
    <x v="2"/>
    <x v="1"/>
    <n v="4"/>
    <n v="20.53"/>
    <x v="62"/>
  </r>
  <r>
    <x v="0"/>
    <x v="1"/>
    <x v="2"/>
    <x v="1"/>
    <n v="3"/>
    <n v="16.47"/>
    <x v="9"/>
  </r>
  <r>
    <x v="1"/>
    <x v="1"/>
    <x v="1"/>
    <x v="0"/>
    <n v="3"/>
    <n v="26.59"/>
    <x v="108"/>
  </r>
  <r>
    <x v="1"/>
    <x v="1"/>
    <x v="1"/>
    <x v="0"/>
    <n v="4"/>
    <n v="38.729999999999997"/>
    <x v="13"/>
  </r>
  <r>
    <x v="1"/>
    <x v="1"/>
    <x v="1"/>
    <x v="0"/>
    <n v="2"/>
    <n v="24.27"/>
    <x v="66"/>
  </r>
  <r>
    <x v="0"/>
    <x v="1"/>
    <x v="1"/>
    <x v="0"/>
    <n v="2"/>
    <n v="12.76"/>
    <x v="21"/>
  </r>
  <r>
    <x v="1"/>
    <x v="1"/>
    <x v="1"/>
    <x v="0"/>
    <n v="3"/>
    <n v="30.06"/>
    <x v="6"/>
  </r>
  <r>
    <x v="1"/>
    <x v="1"/>
    <x v="1"/>
    <x v="0"/>
    <n v="4"/>
    <n v="25.89"/>
    <x v="109"/>
  </r>
  <r>
    <x v="1"/>
    <x v="0"/>
    <x v="1"/>
    <x v="0"/>
    <n v="4"/>
    <n v="48.33"/>
    <x v="110"/>
  </r>
  <r>
    <x v="0"/>
    <x v="1"/>
    <x v="1"/>
    <x v="0"/>
    <n v="2"/>
    <n v="13.27"/>
    <x v="27"/>
  </r>
  <r>
    <x v="0"/>
    <x v="1"/>
    <x v="1"/>
    <x v="0"/>
    <n v="3"/>
    <n v="28.17"/>
    <x v="103"/>
  </r>
  <r>
    <x v="0"/>
    <x v="1"/>
    <x v="1"/>
    <x v="0"/>
    <n v="2"/>
    <n v="12.9"/>
    <x v="111"/>
  </r>
  <r>
    <x v="1"/>
    <x v="1"/>
    <x v="1"/>
    <x v="0"/>
    <n v="5"/>
    <n v="28.15"/>
    <x v="13"/>
  </r>
  <r>
    <x v="1"/>
    <x v="1"/>
    <x v="1"/>
    <x v="0"/>
    <n v="2"/>
    <n v="11.59"/>
    <x v="45"/>
  </r>
  <r>
    <x v="1"/>
    <x v="1"/>
    <x v="1"/>
    <x v="0"/>
    <n v="2"/>
    <n v="7.74"/>
    <x v="107"/>
  </r>
  <r>
    <x v="0"/>
    <x v="1"/>
    <x v="1"/>
    <x v="0"/>
    <n v="4"/>
    <n v="30.14"/>
    <x v="112"/>
  </r>
  <r>
    <x v="1"/>
    <x v="1"/>
    <x v="3"/>
    <x v="1"/>
    <n v="2"/>
    <n v="12.16"/>
    <x v="59"/>
  </r>
  <r>
    <x v="0"/>
    <x v="1"/>
    <x v="3"/>
    <x v="1"/>
    <n v="2"/>
    <n v="13.42"/>
    <x v="71"/>
  </r>
  <r>
    <x v="1"/>
    <x v="1"/>
    <x v="3"/>
    <x v="1"/>
    <n v="1"/>
    <n v="8.58"/>
    <x v="113"/>
  </r>
  <r>
    <x v="0"/>
    <x v="0"/>
    <x v="3"/>
    <x v="1"/>
    <n v="3"/>
    <n v="15.98"/>
    <x v="13"/>
  </r>
  <r>
    <x v="1"/>
    <x v="1"/>
    <x v="3"/>
    <x v="1"/>
    <n v="2"/>
    <n v="13.42"/>
    <x v="114"/>
  </r>
  <r>
    <x v="0"/>
    <x v="1"/>
    <x v="3"/>
    <x v="1"/>
    <n v="2"/>
    <n v="16.27"/>
    <x v="27"/>
  </r>
  <r>
    <x v="0"/>
    <x v="1"/>
    <x v="3"/>
    <x v="1"/>
    <n v="2"/>
    <n v="10.09"/>
    <x v="6"/>
  </r>
  <r>
    <x v="1"/>
    <x v="0"/>
    <x v="1"/>
    <x v="0"/>
    <n v="4"/>
    <n v="20.45"/>
    <x v="13"/>
  </r>
  <r>
    <x v="1"/>
    <x v="0"/>
    <x v="1"/>
    <x v="0"/>
    <n v="2"/>
    <n v="13.28"/>
    <x v="115"/>
  </r>
  <r>
    <x v="0"/>
    <x v="1"/>
    <x v="1"/>
    <x v="0"/>
    <n v="2"/>
    <n v="22.12"/>
    <x v="116"/>
  </r>
  <r>
    <x v="1"/>
    <x v="1"/>
    <x v="1"/>
    <x v="0"/>
    <n v="4"/>
    <n v="24.01"/>
    <x v="6"/>
  </r>
  <r>
    <x v="1"/>
    <x v="1"/>
    <x v="1"/>
    <x v="0"/>
    <n v="3"/>
    <n v="15.69"/>
    <x v="13"/>
  </r>
  <r>
    <x v="1"/>
    <x v="0"/>
    <x v="1"/>
    <x v="0"/>
    <n v="2"/>
    <n v="11.61"/>
    <x v="117"/>
  </r>
  <r>
    <x v="1"/>
    <x v="0"/>
    <x v="1"/>
    <x v="0"/>
    <n v="2"/>
    <n v="10.77"/>
    <x v="118"/>
  </r>
  <r>
    <x v="1"/>
    <x v="1"/>
    <x v="1"/>
    <x v="0"/>
    <n v="2"/>
    <n v="15.53"/>
    <x v="13"/>
  </r>
  <r>
    <x v="1"/>
    <x v="0"/>
    <x v="1"/>
    <x v="0"/>
    <n v="2"/>
    <n v="10.07"/>
    <x v="60"/>
  </r>
  <r>
    <x v="1"/>
    <x v="1"/>
    <x v="1"/>
    <x v="0"/>
    <n v="2"/>
    <n v="12.6"/>
    <x v="54"/>
  </r>
  <r>
    <x v="1"/>
    <x v="1"/>
    <x v="1"/>
    <x v="0"/>
    <n v="2"/>
    <n v="32.83"/>
    <x v="119"/>
  </r>
  <r>
    <x v="0"/>
    <x v="0"/>
    <x v="1"/>
    <x v="0"/>
    <n v="3"/>
    <n v="35.83"/>
    <x v="120"/>
  </r>
  <r>
    <x v="1"/>
    <x v="0"/>
    <x v="1"/>
    <x v="0"/>
    <n v="3"/>
    <n v="29.03"/>
    <x v="121"/>
  </r>
  <r>
    <x v="0"/>
    <x v="1"/>
    <x v="1"/>
    <x v="0"/>
    <n v="2"/>
    <n v="27.18"/>
    <x v="6"/>
  </r>
  <r>
    <x v="1"/>
    <x v="1"/>
    <x v="1"/>
    <x v="0"/>
    <n v="2"/>
    <n v="22.67"/>
    <x v="6"/>
  </r>
  <r>
    <x v="1"/>
    <x v="0"/>
    <x v="1"/>
    <x v="0"/>
    <n v="2"/>
    <n v="17.82"/>
    <x v="122"/>
  </r>
  <r>
    <x v="0"/>
    <x v="0"/>
    <x v="2"/>
    <x v="0"/>
    <n v="2"/>
    <n v="18.78"/>
    <x v="1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9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5.xml"/></Relationships>
</file>

<file path=xl/pivotTables/_rels/pivotTable2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4.xml"/></Relationships>
</file>

<file path=xl/pivotTables/_rels/pivotTable3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3.xml"/></Relationships>
</file>

<file path=xl/pivotTables/_rels/pivotTable3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2.xml"/></Relationships>
</file>

<file path=xl/pivotTables/_rels/pivotTable3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0.xml"/></Relationships>
</file>

<file path=xl/pivotTables/_rels/pivotTable3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48E6AEB-4C05-4617-BD2A-9FF776DDC54F}" name="PivotTable3" cacheId="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rowHeaderCaption="Day">
  <location ref="G18:H28" firstHeaderRow="1" firstDataRow="1" firstDataCol="1"/>
  <pivotFields count="7">
    <pivotField showAll="0"/>
    <pivotField showAll="0"/>
    <pivotField axis="axisRow" showAll="0" sortType="descending">
      <items count="5">
        <item x="2"/>
        <item x="1"/>
        <item x="3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showAll="0">
      <items count="3">
        <item x="0"/>
        <item x="1"/>
        <item t="default"/>
      </items>
    </pivotField>
    <pivotField dataField="1" showAll="0"/>
    <pivotField showAll="0"/>
    <pivotField showAll="0"/>
  </pivotFields>
  <rowFields count="2">
    <field x="2"/>
    <field x="3"/>
  </rowFields>
  <rowItems count="10">
    <i>
      <x v="1"/>
    </i>
    <i r="1">
      <x/>
    </i>
    <i>
      <x v="3"/>
    </i>
    <i r="1">
      <x/>
    </i>
    <i>
      <x/>
    </i>
    <i r="1">
      <x/>
    </i>
    <i r="1">
      <x v="1"/>
    </i>
    <i>
      <x v="2"/>
    </i>
    <i r="1">
      <x/>
    </i>
    <i r="1">
      <x v="1"/>
    </i>
  </rowItems>
  <colItems count="1">
    <i/>
  </colItems>
  <dataFields count="1">
    <dataField name="Total Customers Visit" fld="4" subtotal="count" baseField="2" baseItem="1" numFmtId="10">
      <extLst>
        <ext xmlns:x14="http://schemas.microsoft.com/office/spreadsheetml/2009/9/main" uri="{E15A36E0-9728-4e99-A89B-3F7291B0FE68}">
          <x14:dataField pivotShowAs="percentOfParentRow"/>
        </ext>
      </extLst>
    </dataField>
  </dataFields>
  <pivotTableStyleInfo name="PivotStyleLight18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EA0F1D8-903F-4A6B-B988-5FC8EE00DBE5}" name="PivotTable2" cacheId="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rowHeaderCaption="Time">
  <location ref="G7:H9" firstHeaderRow="1" firstDataRow="1" firstDataCol="1"/>
  <pivotFields count="7">
    <pivotField showAll="0"/>
    <pivotField showAll="0"/>
    <pivotField showAll="0" sortType="descending">
      <items count="5">
        <item x="2"/>
        <item x="1"/>
        <item x="3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showAll="0">
      <items count="3">
        <item x="0"/>
        <item x="1"/>
        <item t="default"/>
      </items>
    </pivotField>
    <pivotField dataField="1" showAll="0"/>
    <pivotField showAll="0"/>
    <pivotField showAll="0"/>
  </pivotFields>
  <rowFields count="1">
    <field x="3"/>
  </rowFields>
  <rowItems count="2">
    <i>
      <x/>
    </i>
    <i>
      <x v="1"/>
    </i>
  </rowItems>
  <colItems count="1">
    <i/>
  </colItems>
  <dataFields count="1">
    <dataField name="Total Customers Visit" fld="4" subtotal="count" showDataAs="percentOfCol" baseField="3" baseItem="0" numFmtId="10"/>
  </dataFields>
  <pivotTableStyleInfo name="PivotStyleLight18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4A110B4-E377-4B2A-BA6D-7AD772C118A7}" name="PivotTable1" cacheId="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rowHeaderCaption="DAY">
  <location ref="G11:H15" firstHeaderRow="1" firstDataRow="1" firstDataCol="1"/>
  <pivotFields count="7">
    <pivotField showAll="0"/>
    <pivotField showAll="0"/>
    <pivotField axis="axisRow" showAll="0" sortType="descending">
      <items count="5">
        <item x="2"/>
        <item x="1"/>
        <item x="3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dataField="1" showAll="0"/>
    <pivotField showAll="0"/>
    <pivotField showAll="0"/>
  </pivotFields>
  <rowFields count="1">
    <field x="2"/>
  </rowFields>
  <rowItems count="4">
    <i>
      <x v="1"/>
    </i>
    <i>
      <x v="3"/>
    </i>
    <i>
      <x/>
    </i>
    <i>
      <x v="2"/>
    </i>
  </rowItems>
  <colItems count="1">
    <i/>
  </colItems>
  <dataFields count="1">
    <dataField name="Total Customers Visit" fld="4" subtotal="count" baseField="2" baseItem="2"/>
  </dataFields>
  <pivotTableStyleInfo name="PivotStyleLight18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3C26B5E-7F15-4C8C-8DDE-2552784D248C}" name="PivotTable7" cacheId="91" applyNumberFormats="0" applyBorderFormats="0" applyFontFormats="0" applyPatternFormats="0" applyAlignmentFormats="0" applyWidthHeightFormats="1" dataCaption="Values" updatedVersion="8" minRefreshableVersion="3" useAutoFormatting="1" subtotalHiddenItems="1" rowGrandTotals="0" colGrandTotals="0" itemPrintTitles="1" createdVersion="8" indent="0" outline="1" outlineData="1" multipleFieldFilters="0" rowHeaderCaption="smoker">
  <location ref="F26:H28" firstHeaderRow="0" firstDataRow="1" firstDataCol="1"/>
  <pivotFields count="3">
    <pivotField axis="axisRow" allDrilled="1" subtotalTop="0" showAll="0" dataSourceSort="1" defaultSubtotal="0" defaultAttributeDrillState="1">
      <items count="2">
        <item x="0"/>
        <item x="1"/>
      </items>
    </pivotField>
    <pivotField dataField="1" subtotalTop="0" showAll="0" defaultSubtotal="0"/>
    <pivotField dataField="1" subtotalTop="0" showAll="0" defaultSubtotal="0"/>
  </pivotFields>
  <rowFields count="1">
    <field x="0"/>
  </rowFields>
  <rowItems count="2">
    <i>
      <x/>
    </i>
    <i>
      <x v="1"/>
    </i>
  </rowItems>
  <colFields count="1">
    <field x="-2"/>
  </colFields>
  <colItems count="2">
    <i>
      <x/>
    </i>
    <i i="1">
      <x v="1"/>
    </i>
  </colItems>
  <dataFields count="2">
    <dataField name="Total revenue" fld="1" baseField="0" baseItem="0"/>
    <dataField name="Count of smoker" fld="2" subtotal="count" baseField="0" baseItem="0"/>
  </dataFields>
  <pivotHierarchies count="17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 caption="% of total revenue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tips!$A$1:$G$244">
        <x15:activeTabTopLevelEntity name="[Rang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1FB8D66-E725-48D1-A1AD-B631F93F58DB}" name="PivotTable13" cacheId="92" applyNumberFormats="0" applyBorderFormats="0" applyFontFormats="0" applyPatternFormats="0" applyAlignmentFormats="0" applyWidthHeightFormats="1" dataCaption="Values" updatedVersion="8" minRefreshableVersion="3" useAutoFormatting="1" subtotalHiddenItems="1" rowGrandTotals="0" colGrandTotals="0" itemPrintTitles="1" createdVersion="8" indent="0" outline="1" outlineData="1" multipleFieldFilters="0" rowHeaderCaption="Day">
  <location ref="F60:G61" firstHeaderRow="1" firstDataRow="1" firstDataCol="1"/>
  <pivotFields count="2">
    <pivotField axis="axisRow" allDrilled="1" subtotalTop="0" showAll="0" sortType="descending" defaultSubtotal="0" defaultAttributeDrillState="1">
      <items count="1">
        <item s="1" x="0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</pivotFields>
  <rowFields count="1">
    <field x="0"/>
  </rowFields>
  <rowItems count="1">
    <i>
      <x/>
    </i>
  </rowItems>
  <colItems count="1">
    <i/>
  </colItems>
  <dataFields count="1">
    <dataField name="Sum of tip" fld="1" baseField="0" baseItem="0"/>
  </dataFields>
  <pivotHierarchies count="17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 caption="percent of amoker and non smokers"/>
    <pivotHierarchy dragToData="1"/>
    <pivotHierarchy dragToData="1" caption="Average of size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2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tips!$A$1:$G$244">
        <x15:activeTabTopLevelEntity name="[Rang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91ADFFA-6BDF-474C-A917-FBF33B321E22}" name="PivotTable3" cacheId="0" applyNumberFormats="0" applyBorderFormats="0" applyFontFormats="0" applyPatternFormats="0" applyAlignmentFormats="0" applyWidthHeightFormats="1" dataCaption="Values" updatedVersion="8" minRefreshableVersion="3" showDrill="0" useAutoFormatting="1" rowGrandTotals="0" itemPrintTitles="1" createdVersion="8" indent="0" outline="1" outlineData="1" multipleFieldFilters="0" rowHeaderCaption="Sex">
  <location ref="F12:H14" firstHeaderRow="0" firstDataRow="1" firstDataCol="1"/>
  <pivotFields count="7"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dataField="1" showAll="0"/>
    <pivotField dataField="1" showAll="0"/>
  </pivotFields>
  <rowFields count="1">
    <field x="0"/>
  </rowFields>
  <rowItems count="2">
    <i>
      <x/>
    </i>
    <i>
      <x v="1"/>
    </i>
  </rowItems>
  <colFields count="1">
    <field x="-2"/>
  </colFields>
  <colItems count="2">
    <i>
      <x/>
    </i>
    <i i="1">
      <x v="1"/>
    </i>
  </colItems>
  <dataFields count="2">
    <dataField name="Sum of total_bill" fld="5" baseField="0" baseItem="0"/>
    <dataField name="Sum of tip" fld="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B674F6F-3971-469F-8EC4-0169A7331623}" name="PivotTable9" cacheId="94" applyNumberFormats="0" applyBorderFormats="0" applyFontFormats="0" applyPatternFormats="0" applyAlignmentFormats="0" applyWidthHeightFormats="1" dataCaption="Values" updatedVersion="8" minRefreshableVersion="3" useAutoFormatting="1" subtotalHiddenItems="1" rowGrandTotals="0" colGrandTotals="0" itemPrintTitles="1" createdVersion="8" indent="0" outline="1" outlineData="1" multipleFieldFilters="0" rowHeaderCaption="Smoker">
  <location ref="F38:H40" firstHeaderRow="0" firstDataRow="1" firstDataCol="1"/>
  <pivotFields count="3">
    <pivotField axis="axisRow" allDrilled="1" subtotalTop="0" showAll="0" dataSourceSort="1" defaultSubtotal="0" defaultAttributeDrillState="1">
      <items count="2">
        <item x="0"/>
        <item x="1"/>
      </items>
    </pivotField>
    <pivotField dataField="1" subtotalTop="0" showAll="0" defaultSubtotal="0"/>
    <pivotField dataField="1" compact="0" outline="0" subtotalTop="0" dragToRow="0" dragToCol="0" dragToPage="0" dragToData="0" dragOff="0" showAll="0" topAutoShow="0" includeNewItemsInFilter="1" itemPageCount="0" rankBy="0" defaultSubtotal="0">
      <extLst>
        <ext xmlns:x14="http://schemas.microsoft.com/office/spreadsheetml/2009/9/main" uri="{2946ED86-A175-432a-8AC1-64E0C546D7DE}">
          <x14:pivotField ignore="1"/>
        </ext>
      </extLst>
    </pivotField>
  </pivotFields>
  <rowFields count="1">
    <field x="0"/>
  </rowFields>
  <rowItems count="2">
    <i>
      <x/>
    </i>
    <i>
      <x v="1"/>
    </i>
  </rowItems>
  <colFields count="1">
    <field x="-2"/>
  </colFields>
  <colItems count="2">
    <i>
      <x/>
    </i>
    <i i="1">
      <x v="1"/>
    </i>
  </colItems>
  <dataFields count="2">
    <dataField name="Count of smoker" fld="1" subtotal="count" baseField="0" baseItem="0"/>
    <dataField name="percent of amoker " fld="2" subtotal="count" showDataAs="percentOfTotal" baseField="0" baseItem="0" numFmtId="10">
      <extLst>
        <ext xmlns:x14="http://schemas.microsoft.com/office/spreadsheetml/2009/9/main" uri="{E15A36E0-9728-4e99-A89B-3F7291B0FE68}">
          <x14:dataField sourceField="1" uniqueName="[__Xl2].[Measures].[Count of smoker]"/>
        </ext>
      </extLst>
    </dataField>
  </dataFields>
  <pivotHierarchies count="18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 caption="percent of amoker "/>
    <pivotHierarchy dragToData="1"/>
    <pivotHierarchy dragToData="1"/>
    <pivotHierarchy dragToData="1"/>
    <pivotHierarchy dragToData="1"/>
    <pivotHierarchy dragToData="1"/>
    <pivotHierarchy dragToRow="0" dragToCol="0" dragToPage="0" dragToData="1" dragOff="0" includeNewItemsInFilter="1">
      <extLst>
        <ext xmlns:x14="http://schemas.microsoft.com/office/spreadsheetml/2009/9/main" uri="{F1805F06-0CD3-4483-9156-8803C3D141DF}">
          <x14:pivotHierarchy ignore="1"/>
        </ext>
      </extLst>
    </pivotHierarchy>
  </pivotHierarchies>
  <pivotTableStyleInfo name="PivotStyleLight16" showRowHeaders="1" showColHeaders="1" showRowStripes="0" showColStripes="0" showLastColumn="1"/>
  <rowHierarchiesUsage count="1">
    <rowHierarchyUsage hierarchyUsage="1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tips!$A$1:$G$244">
        <x15:activeTabTopLevelEntity name="[Rang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1BB77D8-2C0B-4060-ABEE-B1D8966C57B9}" name="PivotTable8" cacheId="95" applyNumberFormats="0" applyBorderFormats="0" applyFontFormats="0" applyPatternFormats="0" applyAlignmentFormats="0" applyWidthHeightFormats="1" dataCaption="Values" updatedVersion="8" minRefreshableVersion="3" useAutoFormatting="1" subtotalHiddenItems="1" rowGrandTotals="0" colGrandTotals="0" itemPrintTitles="1" createdVersion="8" indent="0" outline="1" outlineData="1" multipleFieldFilters="0" rowHeaderCaption="smoker">
  <location ref="F30:G32" firstHeaderRow="1" firstDataRow="1" firstDataCol="1"/>
  <pivotFields count="2">
    <pivotField axis="axisRow" allDrilled="1" subtotalTop="0" showAll="0" dataSourceSort="1" defaultSubtotal="0" defaultAttributeDrillState="1">
      <items count="2">
        <item x="0"/>
        <item x="1"/>
      </items>
    </pivotField>
    <pivotField dataField="1" subtotalTop="0" showAll="0" defaultSubtotal="0"/>
  </pivotFields>
  <rowFields count="1">
    <field x="0"/>
  </rowFields>
  <rowItems count="2">
    <i>
      <x/>
    </i>
    <i>
      <x v="1"/>
    </i>
  </rowItems>
  <colItems count="1">
    <i/>
  </colItems>
  <dataFields count="1">
    <dataField name="Total tip" fld="1" baseField="0" baseItem="0"/>
  </dataFields>
  <pivotHierarchies count="17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 caption="Total tip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tips!$A$1:$G$244">
        <x15:activeTabTopLevelEntity name="[Rang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F0A0E4C-F792-4384-BA9E-D4E29709EB29}" name="PivotTable14" cacheId="96" applyNumberFormats="0" applyBorderFormats="0" applyFontFormats="0" applyPatternFormats="0" applyAlignmentFormats="0" applyWidthHeightFormats="1" dataCaption="Values" updatedVersion="8" minRefreshableVersion="3" useAutoFormatting="1" subtotalHiddenItems="1" rowGrandTotals="0" colGrandTotals="0" itemPrintTitles="1" createdVersion="8" indent="0" outline="1" outlineData="1" multipleFieldFilters="0" rowHeaderCaption="Day">
  <location ref="F63:G64" firstHeaderRow="1" firstDataRow="1" firstDataCol="1"/>
  <pivotFields count="2">
    <pivotField axis="axisRow" allDrilled="1" subtotalTop="0" showAll="0" sortType="descending" defaultSubtotal="0" defaultAttributeDrillState="1">
      <items count="1">
        <item s="1" x="0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</pivotFields>
  <rowFields count="1">
    <field x="0"/>
  </rowFields>
  <rowItems count="1">
    <i>
      <x/>
    </i>
  </rowItems>
  <colItems count="1">
    <i/>
  </colItems>
  <dataFields count="1">
    <dataField name="Average of total_bill" fld="1" subtotal="average" baseField="0" baseItem="0"/>
  </dataFields>
  <pivotHierarchies count="17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 caption="percent of amoker and non smokers"/>
    <pivotHierarchy dragToData="1"/>
    <pivotHierarchy dragToData="1" caption="Average of size"/>
    <pivotHierarchy dragToData="1" caption="Average of total_bill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2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tips!$A$1:$G$244">
        <x15:activeTabTopLevelEntity name="[Rang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49801C4-5A3A-48A4-B6BF-D74A24AF1351}" name="PivotTable6" cacheId="97" applyNumberFormats="0" applyBorderFormats="0" applyFontFormats="0" applyPatternFormats="0" applyAlignmentFormats="0" applyWidthHeightFormats="1" dataCaption="Values" updatedVersion="8" minRefreshableVersion="3" useAutoFormatting="1" subtotalHiddenItems="1" rowGrandTotals="0" colGrandTotals="0" itemPrintTitles="1" createdVersion="8" indent="0" outline="1" outlineData="1" multipleFieldFilters="0" rowHeaderCaption="Sex">
  <location ref="F18:H20" firstHeaderRow="0" firstDataRow="1" firstDataCol="1"/>
  <pivotFields count="3">
    <pivotField axis="axisRow" allDrilled="1" subtotalTop="0" showAll="0" dataSourceSort="1" defaultSubtotal="0" defaultAttributeDrillState="1">
      <items count="2">
        <item x="0"/>
        <item x="1"/>
      </items>
    </pivotField>
    <pivotField dataField="1" subtotalTop="0" showAll="0" defaultSubtotal="0"/>
    <pivotField dataField="1" subtotalTop="0" showAll="0" defaultSubtotal="0"/>
  </pivotFields>
  <rowFields count="1">
    <field x="0"/>
  </rowFields>
  <rowItems count="2">
    <i>
      <x/>
    </i>
    <i>
      <x v="1"/>
    </i>
  </rowItems>
  <colFields count="1">
    <field x="-2"/>
  </colFields>
  <colItems count="2">
    <i>
      <x/>
    </i>
    <i i="1">
      <x v="1"/>
    </i>
  </colItems>
  <dataFields count="2">
    <dataField name="Sum of tip" fld="1" baseField="0" baseItem="1"/>
    <dataField name="Sum of total_bill" fld="2" baseField="0" baseItem="0"/>
  </dataFields>
  <pivotHierarchies count="17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0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tips!$A$1:$G$244">
        <x15:activeTabTopLevelEntity name="[Rang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DFDC1DA-218A-423D-A102-9539C6DB7793}" name="PivotTable11" cacheId="98" applyNumberFormats="0" applyBorderFormats="0" applyFontFormats="0" applyPatternFormats="0" applyAlignmentFormats="0" applyWidthHeightFormats="1" dataCaption="Values" updatedVersion="8" minRefreshableVersion="3" useAutoFormatting="1" subtotalHiddenItems="1" rowGrandTotals="0" colGrandTotals="0" itemPrintTitles="1" createdVersion="8" indent="0" outline="1" outlineData="1" multipleFieldFilters="0" rowHeaderCaption="Time">
  <location ref="H44:K46" firstHeaderRow="0" firstDataRow="1" firstDataCol="1"/>
  <pivotFields count="4">
    <pivotField axis="axisRow" allDrilled="1" subtotalTop="0" showAll="0" dataSourceSort="1" defaultSubtotal="0" defaultAttributeDrillState="1">
      <items count="2">
        <item x="0"/>
        <item x="1"/>
      </items>
    </pivotField>
    <pivotField dataField="1" subtotalTop="0" showAll="0" defaultSubtotal="0"/>
    <pivotField dataField="1" subtotalTop="0" showAll="0" defaultSubtotal="0"/>
    <pivotField dataField="1" subtotalTop="0" showAll="0" defaultSubtotal="0"/>
  </pivotFields>
  <rowFields count="1">
    <field x="0"/>
  </rowFields>
  <rowItems count="2">
    <i>
      <x/>
    </i>
    <i>
      <x v="1"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total_bill" fld="1" baseField="0" baseItem="0"/>
    <dataField name="Sum of tip" fld="2" baseField="0" baseItem="0"/>
    <dataField name="Average of size" fld="3" subtotal="average" baseField="0" baseItem="0" numFmtId="2"/>
  </dataFields>
  <formats count="1">
    <format dxfId="21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</formats>
  <pivotHierarchies count="17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 caption="percent of amoker and non smokers"/>
    <pivotHierarchy dragToData="1"/>
    <pivotHierarchy dragToData="1" caption="Average of size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3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tips!$A$1:$G$244">
        <x15:activeTabTopLevelEntity name="[Rang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5AEC39D-46B8-4E58-BA3B-BA9CF5E3487D}" name="PivotTable12" cacheId="99" applyNumberFormats="0" applyBorderFormats="0" applyFontFormats="0" applyPatternFormats="0" applyAlignmentFormats="0" applyWidthHeightFormats="1" dataCaption="Values" updatedVersion="8" minRefreshableVersion="3" useAutoFormatting="1" subtotalHiddenItems="1" rowGrandTotals="0" colGrandTotals="0" itemPrintTitles="1" createdVersion="8" indent="0" outline="1" outlineData="1" multipleFieldFilters="0" rowHeaderCaption="Day">
  <location ref="F57:G58" firstHeaderRow="1" firstDataRow="1" firstDataCol="1"/>
  <pivotFields count="2">
    <pivotField axis="axisRow" allDrilled="1" subtotalTop="0" showAll="0" sortType="descending" defaultSubtotal="0" defaultAttributeDrillState="1">
      <items count="1">
        <item s="1" x="0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</pivotFields>
  <rowFields count="1">
    <field x="0"/>
  </rowFields>
  <rowItems count="1">
    <i>
      <x/>
    </i>
  </rowItems>
  <colItems count="1">
    <i/>
  </colItems>
  <dataFields count="1">
    <dataField name="Sum of total_bill" fld="1" baseField="0" baseItem="0"/>
  </dataFields>
  <pivotHierarchies count="17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 caption="percent of amoker and non smokers"/>
    <pivotHierarchy dragToData="1"/>
    <pivotHierarchy dragToData="1" caption="Average of size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2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tips!$A$1:$G$244">
        <x15:activeTabTopLevelEntity name="[Rang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5F1160-85F3-478E-8A15-157D1869B28B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0">
  <location ref="N1:O4" firstHeaderRow="1" firstDataRow="1" firstDataCol="1"/>
  <pivotFields count="7">
    <pivotField showAll="0">
      <items count="3">
        <item x="0"/>
        <item x="1"/>
        <item t="default"/>
      </items>
    </pivotField>
    <pivotField showAll="0">
      <items count="3">
        <item x="0"/>
        <item x="1"/>
        <item t="default"/>
      </items>
    </pivotField>
    <pivotField showAll="0">
      <items count="5">
        <item sd="0" x="0"/>
        <item x="3"/>
        <item sd="0" x="1"/>
        <item sd="0" x="2"/>
        <item t="default" sd="0"/>
      </items>
    </pivotField>
    <pivotField axis="axisRow" showAll="0">
      <items count="3">
        <item x="0"/>
        <item x="1"/>
        <item t="default"/>
      </items>
    </pivotField>
    <pivotField showAll="0"/>
    <pivotField dataField="1" showAll="0"/>
    <pivotField showAll="0"/>
  </pivotFields>
  <rowFields count="1">
    <field x="3"/>
  </rowFields>
  <rowItems count="3">
    <i>
      <x/>
    </i>
    <i>
      <x v="1"/>
    </i>
    <i t="grand">
      <x/>
    </i>
  </rowItems>
  <colItems count="1">
    <i/>
  </colItems>
  <dataFields count="1">
    <dataField name="Sum of total_bill" fld="5" baseField="0" baseItem="0"/>
  </dataFields>
  <chartFormats count="2">
    <chartFormat chart="1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9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3F72D55-AAFF-4C0B-BF24-4D7513677DDA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0">
  <location ref="K1:L4" firstHeaderRow="1" firstDataRow="1" firstDataCol="1"/>
  <pivotFields count="7">
    <pivotField showAll="0">
      <items count="3">
        <item x="0"/>
        <item x="1"/>
        <item t="default"/>
      </items>
    </pivotField>
    <pivotField showAll="0">
      <items count="3">
        <item x="0"/>
        <item x="1"/>
        <item t="default"/>
      </items>
    </pivotField>
    <pivotField showAll="0">
      <items count="5">
        <item sd="0" x="0"/>
        <item x="3"/>
        <item sd="0" x="1"/>
        <item sd="0" x="2"/>
        <item t="default" sd="0"/>
      </items>
    </pivotField>
    <pivotField axis="axisRow" showAll="0">
      <items count="3">
        <item x="0"/>
        <item x="1"/>
        <item t="default"/>
      </items>
    </pivotField>
    <pivotField showAll="0"/>
    <pivotField dataField="1" showAll="0"/>
    <pivotField showAll="0"/>
  </pivotFields>
  <rowFields count="1">
    <field x="3"/>
  </rowFields>
  <rowItems count="3">
    <i>
      <x/>
    </i>
    <i>
      <x v="1"/>
    </i>
    <i t="grand">
      <x/>
    </i>
  </rowItems>
  <colItems count="1">
    <i/>
  </colItems>
  <dataFields count="1">
    <dataField name="Sum of total_bill" fld="5" baseField="0" baseItem="0"/>
  </dataFields>
  <chartFormats count="2">
    <chartFormat chart="1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9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E681217-679D-4447-AD2D-95A16CD01D82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2">
  <location ref="G2:H5" firstHeaderRow="1" firstDataRow="1" firstDataCol="1"/>
  <pivotFields count="7">
    <pivotField showAll="0">
      <items count="3">
        <item x="0"/>
        <item x="1"/>
        <item t="default"/>
      </items>
    </pivotField>
    <pivotField axis="axisRow" showAll="0">
      <items count="3">
        <item x="0"/>
        <item x="1"/>
        <item t="default"/>
      </items>
    </pivotField>
    <pivotField showAll="0">
      <items count="5">
        <item sd="0" x="0"/>
        <item x="3"/>
        <item sd="0" x="1"/>
        <item sd="0" x="2"/>
        <item t="default" sd="0"/>
      </items>
    </pivotField>
    <pivotField showAll="0">
      <items count="3">
        <item x="0"/>
        <item x="1"/>
        <item t="default"/>
      </items>
    </pivotField>
    <pivotField showAll="0"/>
    <pivotField showAll="0"/>
    <pivotField dataField="1" showAll="0"/>
  </pivotFields>
  <rowFields count="1">
    <field x="1"/>
  </rowFields>
  <rowItems count="3">
    <i>
      <x/>
    </i>
    <i>
      <x v="1"/>
    </i>
    <i t="grand">
      <x/>
    </i>
  </rowItems>
  <colItems count="1">
    <i/>
  </colItems>
  <dataFields count="1">
    <dataField name="Sum of tip" fld="6" baseField="0" baseItem="0"/>
  </dataFields>
  <chartFormats count="3"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1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495C9D6-C007-4D4A-AFAE-EC09D235C87C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1">
  <location ref="D1:E4" firstHeaderRow="1" firstDataRow="1" firstDataCol="1"/>
  <pivotFields count="7">
    <pivotField axis="axisRow" showAll="0">
      <items count="3">
        <item x="0"/>
        <item x="1"/>
        <item t="default"/>
      </items>
    </pivotField>
    <pivotField showAll="0"/>
    <pivotField showAll="0">
      <items count="5">
        <item sd="0" x="0"/>
        <item x="3"/>
        <item sd="0" x="1"/>
        <item sd="0" x="2"/>
        <item t="default" sd="0"/>
      </items>
    </pivotField>
    <pivotField showAll="0"/>
    <pivotField showAll="0"/>
    <pivotField showAll="0"/>
    <pivotField dataField="1" showAll="0"/>
  </pivotFields>
  <rowFields count="1">
    <field x="0"/>
  </rowFields>
  <rowItems count="3">
    <i>
      <x/>
    </i>
    <i>
      <x v="1"/>
    </i>
    <i t="grand">
      <x/>
    </i>
  </rowItems>
  <colItems count="1">
    <i/>
  </colItems>
  <dataFields count="1">
    <dataField name="Sum of tip" fld="6" baseField="0" baseItem="0"/>
  </dataFields>
  <chartFormats count="2"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D7E667E-6C09-4808-940B-F7193F7A600A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1:B6" firstHeaderRow="1" firstDataRow="1" firstDataCol="1"/>
  <pivotFields count="7">
    <pivotField showAll="0"/>
    <pivotField showAll="0"/>
    <pivotField axis="axisRow" showAll="0">
      <items count="5">
        <item x="0"/>
        <item x="3"/>
        <item x="1"/>
        <item x="2"/>
        <item t="default"/>
      </items>
    </pivotField>
    <pivotField showAll="0"/>
    <pivotField showAll="0"/>
    <pivotField dataField="1" showAll="0"/>
    <pivotField showAll="0"/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total_bill" fld="5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5AFC646-4349-4E77-AEEF-487E6FA69D2B}" name="PivotTable8" cacheId="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rowHeaderCaption="Smoker">
  <location ref="E4:E5" firstHeaderRow="1" firstDataRow="1" firstDataCol="0"/>
  <pivotFields count="7">
    <pivotField showAll="0"/>
    <pivotField showAll="0">
      <items count="3">
        <item x="0"/>
        <item x="1"/>
        <item t="default"/>
      </items>
    </pivotField>
    <pivotField showAll="0"/>
    <pivotField showAll="0"/>
    <pivotField showAll="0"/>
    <pivotField showAll="0"/>
    <pivotField dataField="1" showAll="0"/>
  </pivotFields>
  <rowItems count="1">
    <i/>
  </rowItems>
  <colItems count="1">
    <i/>
  </colItems>
  <dataFields count="1">
    <dataField name="Sum of tip" fld="6" baseField="0" baseItem="0"/>
  </dataFields>
  <formats count="9">
    <format dxfId="30">
      <pivotArea type="all" dataOnly="0" outline="0" fieldPosition="0"/>
    </format>
    <format dxfId="29">
      <pivotArea outline="0" collapsedLevelsAreSubtotals="1" fieldPosition="0"/>
    </format>
    <format dxfId="28">
      <pivotArea field="1" type="button" dataOnly="0" labelOnly="1" outline="0"/>
    </format>
    <format dxfId="27">
      <pivotArea dataOnly="0" labelOnly="1" grandRow="1" outline="0" fieldPosition="0"/>
    </format>
    <format dxfId="26">
      <pivotArea outline="0" collapsedLevelsAreSubtotals="1" fieldPosition="0"/>
    </format>
    <format dxfId="25">
      <pivotArea outline="0" collapsedLevelsAreSubtotals="1" fieldPosition="0"/>
    </format>
    <format dxfId="24">
      <pivotArea type="all" dataOnly="0" outline="0" fieldPosition="0"/>
    </format>
    <format dxfId="23">
      <pivotArea outline="0" collapsedLevelsAreSubtotals="1" fieldPosition="0"/>
    </format>
    <format dxfId="22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61982CE-ECC4-4978-88E2-C26DDA231194}" name="PivotTable3" cacheId="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rowHeaderCaption="Smoker">
  <location ref="F7:G8" firstHeaderRow="1" firstDataRow="1" firstDataCol="1"/>
  <pivotFields count="7">
    <pivotField showAll="0"/>
    <pivotField axis="axisRow" showAll="0">
      <items count="3">
        <item x="0"/>
        <item h="1" x="1"/>
        <item t="default"/>
      </items>
    </pivotField>
    <pivotField showAll="0"/>
    <pivotField showAll="0"/>
    <pivotField showAll="0"/>
    <pivotField dataField="1" showAll="0"/>
    <pivotField showAll="0"/>
  </pivotFields>
  <rowFields count="1">
    <field x="1"/>
  </rowFields>
  <rowItems count="1">
    <i>
      <x/>
    </i>
  </rowItems>
  <colItems count="1">
    <i/>
  </colItems>
  <dataFields count="1">
    <dataField name="Sum of total_bill" fld="5" baseField="0" baseItem="0"/>
  </dataFields>
  <formats count="15">
    <format dxfId="45">
      <pivotArea type="all" dataOnly="0" outline="0" fieldPosition="0"/>
    </format>
    <format dxfId="44">
      <pivotArea outline="0" collapsedLevelsAreSubtotals="1" fieldPosition="0"/>
    </format>
    <format dxfId="43">
      <pivotArea field="1" type="button" dataOnly="0" labelOnly="1" outline="0" axis="axisRow" fieldPosition="0"/>
    </format>
    <format dxfId="42">
      <pivotArea dataOnly="0" labelOnly="1" fieldPosition="0">
        <references count="1">
          <reference field="1" count="0"/>
        </references>
      </pivotArea>
    </format>
    <format dxfId="41">
      <pivotArea dataOnly="0" labelOnly="1" outline="0" axis="axisValues" fieldPosition="0"/>
    </format>
    <format dxfId="40">
      <pivotArea type="all" dataOnly="0" outline="0" fieldPosition="0"/>
    </format>
    <format dxfId="39">
      <pivotArea outline="0" collapsedLevelsAreSubtotals="1" fieldPosition="0"/>
    </format>
    <format dxfId="38">
      <pivotArea field="1" type="button" dataOnly="0" labelOnly="1" outline="0" axis="axisRow" fieldPosition="0"/>
    </format>
    <format dxfId="37">
      <pivotArea dataOnly="0" labelOnly="1" fieldPosition="0">
        <references count="1">
          <reference field="1" count="0"/>
        </references>
      </pivotArea>
    </format>
    <format dxfId="36">
      <pivotArea dataOnly="0" labelOnly="1" outline="0" axis="axisValues" fieldPosition="0"/>
    </format>
    <format dxfId="35">
      <pivotArea type="all" dataOnly="0" outline="0" fieldPosition="0"/>
    </format>
    <format dxfId="34">
      <pivotArea outline="0" collapsedLevelsAreSubtotals="1" fieldPosition="0"/>
    </format>
    <format dxfId="33">
      <pivotArea field="1" type="button" dataOnly="0" labelOnly="1" outline="0" axis="axisRow" fieldPosition="0"/>
    </format>
    <format dxfId="32">
      <pivotArea dataOnly="0" labelOnly="1" fieldPosition="0">
        <references count="1">
          <reference field="1" count="0"/>
        </references>
      </pivotArea>
    </format>
    <format dxfId="31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110C271-E844-41EB-BC37-BCA0643CD596}" name="PivotTable2" cacheId="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rowHeaderCaption="Smoker">
  <location ref="A10:B11" firstHeaderRow="1" firstDataRow="1" firstDataCol="1"/>
  <pivotFields count="7">
    <pivotField showAll="0"/>
    <pivotField axis="axisRow" showAll="0">
      <items count="3">
        <item h="1" x="0"/>
        <item x="1"/>
        <item t="default"/>
      </items>
    </pivotField>
    <pivotField showAll="0"/>
    <pivotField showAll="0"/>
    <pivotField showAll="0"/>
    <pivotField dataField="1" showAll="0"/>
    <pivotField showAll="0"/>
  </pivotFields>
  <rowFields count="1">
    <field x="1"/>
  </rowFields>
  <rowItems count="1">
    <i>
      <x v="1"/>
    </i>
  </rowItems>
  <colItems count="1">
    <i/>
  </colItems>
  <dataFields count="1">
    <dataField name="Average of total_bill" fld="5" subtotal="average" baseField="1" baseItem="1" numFmtId="165"/>
  </dataFields>
  <formats count="9">
    <format dxfId="54">
      <pivotArea type="all" dataOnly="0" outline="0" fieldPosition="0"/>
    </format>
    <format dxfId="53">
      <pivotArea outline="0" collapsedLevelsAreSubtotals="1" fieldPosition="0"/>
    </format>
    <format dxfId="52">
      <pivotArea dataOnly="0" labelOnly="1" grandRow="1" outline="0" fieldPosition="0"/>
    </format>
    <format dxfId="51">
      <pivotArea outline="0" collapsedLevelsAreSubtotals="1" fieldPosition="0"/>
    </format>
    <format dxfId="50">
      <pivotArea type="all" dataOnly="0" outline="0" fieldPosition="0"/>
    </format>
    <format dxfId="49">
      <pivotArea outline="0" collapsedLevelsAreSubtotals="1" fieldPosition="0"/>
    </format>
    <format dxfId="48">
      <pivotArea field="1" type="button" dataOnly="0" labelOnly="1" outline="0" axis="axisRow" fieldPosition="0"/>
    </format>
    <format dxfId="47">
      <pivotArea dataOnly="0" labelOnly="1" fieldPosition="0">
        <references count="1">
          <reference field="1" count="0"/>
        </references>
      </pivotArea>
    </format>
    <format dxfId="46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9D16DED-7694-4C67-A43E-0819C7F4193A}" name="PivotTable7" cacheId="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rowHeaderCaption="Smoker">
  <location ref="G4:G5" firstHeaderRow="1" firstDataRow="1" firstDataCol="0"/>
  <pivotFields count="7">
    <pivotField showAll="0"/>
    <pivotField showAll="0">
      <items count="3">
        <item x="0"/>
        <item x="1"/>
        <item t="default"/>
      </items>
    </pivotField>
    <pivotField showAll="0"/>
    <pivotField showAll="0"/>
    <pivotField showAll="0"/>
    <pivotField dataField="1" showAll="0"/>
    <pivotField showAll="0"/>
  </pivotFields>
  <rowItems count="1">
    <i/>
  </rowItems>
  <colItems count="1">
    <i/>
  </colItems>
  <dataFields count="1">
    <dataField name="Average of total_bill" fld="5" subtotal="average" baseField="0" baseItem="0" numFmtId="2"/>
  </dataFields>
  <formats count="13">
    <format dxfId="67">
      <pivotArea type="all" dataOnly="0" outline="0" fieldPosition="0"/>
    </format>
    <format dxfId="66">
      <pivotArea outline="0" collapsedLevelsAreSubtotals="1" fieldPosition="0"/>
    </format>
    <format dxfId="65">
      <pivotArea field="1" type="button" dataOnly="0" labelOnly="1" outline="0"/>
    </format>
    <format dxfId="64">
      <pivotArea dataOnly="0" labelOnly="1" grandRow="1" outline="0" fieldPosition="0"/>
    </format>
    <format dxfId="63">
      <pivotArea outline="0" collapsedLevelsAreSubtotals="1" fieldPosition="0"/>
    </format>
    <format dxfId="62">
      <pivotArea outline="0" collapsedLevelsAreSubtotals="1" fieldPosition="0"/>
    </format>
    <format dxfId="61">
      <pivotArea outline="0" collapsedLevelsAreSubtotals="1" fieldPosition="0"/>
    </format>
    <format dxfId="60">
      <pivotArea outline="0" collapsedLevelsAreSubtotals="1" fieldPosition="0"/>
    </format>
    <format dxfId="59">
      <pivotArea outline="0" collapsedLevelsAreSubtotals="1" fieldPosition="0"/>
    </format>
    <format dxfId="58">
      <pivotArea outline="0" collapsedLevelsAreSubtotals="1" fieldPosition="0"/>
    </format>
    <format dxfId="57">
      <pivotArea type="all" dataOnly="0" outline="0" fieldPosition="0"/>
    </format>
    <format dxfId="56">
      <pivotArea outline="0" collapsedLevelsAreSubtotals="1" fieldPosition="0"/>
    </format>
    <format dxfId="55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C5B4BAB-3CF2-45EF-96CD-C7B33399F3A2}" name="PivotTable1" cacheId="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2" rowHeaderCaption="Day">
  <location ref="A21:B25" firstHeaderRow="1" firstDataRow="1" firstDataCol="1"/>
  <pivotFields count="7">
    <pivotField showAll="0"/>
    <pivotField showAll="0"/>
    <pivotField axis="axisRow" showAll="0" sortType="ascending">
      <items count="5">
        <item x="0"/>
        <item x="3"/>
        <item x="1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dataField="1" showAll="0"/>
    <pivotField showAll="0"/>
  </pivotFields>
  <rowFields count="1">
    <field x="2"/>
  </rowFields>
  <rowItems count="4">
    <i>
      <x v="1"/>
    </i>
    <i>
      <x v="3"/>
    </i>
    <i>
      <x/>
    </i>
    <i>
      <x v="2"/>
    </i>
  </rowItems>
  <colItems count="1">
    <i/>
  </colItems>
  <dataFields count="1">
    <dataField name="revenue" fld="5" baseField="0" baseItem="0"/>
  </dataFields>
  <formats count="43">
    <format dxfId="110">
      <pivotArea type="all" dataOnly="0" outline="0" fieldPosition="0"/>
    </format>
    <format dxfId="109">
      <pivotArea outline="0" collapsedLevelsAreSubtotals="1" fieldPosition="0"/>
    </format>
    <format dxfId="108">
      <pivotArea field="2" type="button" dataOnly="0" labelOnly="1" outline="0" axis="axisRow" fieldPosition="0"/>
    </format>
    <format dxfId="107">
      <pivotArea dataOnly="0" labelOnly="1" fieldPosition="0">
        <references count="1">
          <reference field="2" count="0"/>
        </references>
      </pivotArea>
    </format>
    <format dxfId="106">
      <pivotArea dataOnly="0" labelOnly="1" outline="0" axis="axisValues" fieldPosition="0"/>
    </format>
    <format dxfId="105">
      <pivotArea type="all" dataOnly="0" outline="0" fieldPosition="0"/>
    </format>
    <format dxfId="104">
      <pivotArea outline="0" collapsedLevelsAreSubtotals="1" fieldPosition="0"/>
    </format>
    <format dxfId="103">
      <pivotArea field="2" type="button" dataOnly="0" labelOnly="1" outline="0" axis="axisRow" fieldPosition="0"/>
    </format>
    <format dxfId="102">
      <pivotArea dataOnly="0" labelOnly="1" fieldPosition="0">
        <references count="1">
          <reference field="2" count="0"/>
        </references>
      </pivotArea>
    </format>
    <format dxfId="101">
      <pivotArea dataOnly="0" labelOnly="1" outline="0" axis="axisValues" fieldPosition="0"/>
    </format>
    <format dxfId="100">
      <pivotArea type="all" dataOnly="0" outline="0" fieldPosition="0"/>
    </format>
    <format dxfId="99">
      <pivotArea outline="0" collapsedLevelsAreSubtotals="1" fieldPosition="0"/>
    </format>
    <format dxfId="98">
      <pivotArea field="2" type="button" dataOnly="0" labelOnly="1" outline="0" axis="axisRow" fieldPosition="0"/>
    </format>
    <format dxfId="97">
      <pivotArea dataOnly="0" labelOnly="1" fieldPosition="0">
        <references count="1">
          <reference field="2" count="0"/>
        </references>
      </pivotArea>
    </format>
    <format dxfId="96">
      <pivotArea dataOnly="0" labelOnly="1" outline="0" axis="axisValues" fieldPosition="0"/>
    </format>
    <format dxfId="95">
      <pivotArea type="all" dataOnly="0" outline="0" fieldPosition="0"/>
    </format>
    <format dxfId="94">
      <pivotArea outline="0" collapsedLevelsAreSubtotals="1" fieldPosition="0"/>
    </format>
    <format dxfId="93">
      <pivotArea field="2" type="button" dataOnly="0" labelOnly="1" outline="0" axis="axisRow" fieldPosition="0"/>
    </format>
    <format dxfId="92">
      <pivotArea dataOnly="0" labelOnly="1" fieldPosition="0">
        <references count="1">
          <reference field="2" count="0"/>
        </references>
      </pivotArea>
    </format>
    <format dxfId="91">
      <pivotArea dataOnly="0" labelOnly="1" outline="0" axis="axisValues" fieldPosition="0"/>
    </format>
    <format dxfId="90">
      <pivotArea type="all" dataOnly="0" outline="0" fieldPosition="0"/>
    </format>
    <format dxfId="89">
      <pivotArea outline="0" collapsedLevelsAreSubtotals="1" fieldPosition="0"/>
    </format>
    <format dxfId="88">
      <pivotArea field="2" type="button" dataOnly="0" labelOnly="1" outline="0" axis="axisRow" fieldPosition="0"/>
    </format>
    <format dxfId="87">
      <pivotArea dataOnly="0" labelOnly="1" fieldPosition="0">
        <references count="1">
          <reference field="2" count="0"/>
        </references>
      </pivotArea>
    </format>
    <format dxfId="86">
      <pivotArea dataOnly="0" labelOnly="1" outline="0" axis="axisValues" fieldPosition="0"/>
    </format>
    <format dxfId="85">
      <pivotArea type="all" dataOnly="0" outline="0" fieldPosition="0"/>
    </format>
    <format dxfId="84">
      <pivotArea outline="0" collapsedLevelsAreSubtotals="1" fieldPosition="0"/>
    </format>
    <format dxfId="83">
      <pivotArea field="2" type="button" dataOnly="0" labelOnly="1" outline="0" axis="axisRow" fieldPosition="0"/>
    </format>
    <format dxfId="82">
      <pivotArea dataOnly="0" labelOnly="1" fieldPosition="0">
        <references count="1">
          <reference field="2" count="0"/>
        </references>
      </pivotArea>
    </format>
    <format dxfId="81">
      <pivotArea dataOnly="0" labelOnly="1" outline="0" axis="axisValues" fieldPosition="0"/>
    </format>
    <format dxfId="80">
      <pivotArea field="2" type="button" dataOnly="0" labelOnly="1" outline="0" axis="axisRow" fieldPosition="0"/>
    </format>
    <format dxfId="79">
      <pivotArea dataOnly="0" labelOnly="1" outline="0" axis="axisValues" fieldPosition="0"/>
    </format>
    <format dxfId="78">
      <pivotArea field="2" type="button" dataOnly="0" labelOnly="1" outline="0" axis="axisRow" fieldPosition="0"/>
    </format>
    <format dxfId="77">
      <pivotArea dataOnly="0" labelOnly="1" outline="0" axis="axisValues" fieldPosition="0"/>
    </format>
    <format dxfId="76">
      <pivotArea outline="0" collapsedLevelsAreSubtotals="1" fieldPosition="0"/>
    </format>
    <format dxfId="75">
      <pivotArea dataOnly="0" labelOnly="1" fieldPosition="0">
        <references count="1">
          <reference field="2" count="0"/>
        </references>
      </pivotArea>
    </format>
    <format dxfId="74">
      <pivotArea field="2" type="button" dataOnly="0" labelOnly="1" outline="0" axis="axisRow" fieldPosition="0"/>
    </format>
    <format dxfId="73">
      <pivotArea dataOnly="0" labelOnly="1" outline="0" axis="axisValues" fieldPosition="0"/>
    </format>
    <format dxfId="72">
      <pivotArea type="all" dataOnly="0" outline="0" fieldPosition="0"/>
    </format>
    <format dxfId="71">
      <pivotArea outline="0" collapsedLevelsAreSubtotals="1" fieldPosition="0"/>
    </format>
    <format dxfId="70">
      <pivotArea field="2" type="button" dataOnly="0" labelOnly="1" outline="0" axis="axisRow" fieldPosition="0"/>
    </format>
    <format dxfId="69">
      <pivotArea dataOnly="0" labelOnly="1" fieldPosition="0">
        <references count="1">
          <reference field="2" count="0"/>
        </references>
      </pivotArea>
    </format>
    <format dxfId="68">
      <pivotArea dataOnly="0" labelOnly="1" outline="0" axis="axisValues" fieldPosition="0"/>
    </format>
  </formats>
  <chartFormats count="2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E2C3496-67AC-4150-A4DB-2D5163BE1E00}" name="PivotTable6" cacheId="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rowHeaderCaption="Smoker">
  <location ref="C4:C5" firstHeaderRow="1" firstDataRow="1" firstDataCol="0"/>
  <pivotFields count="7">
    <pivotField showAll="0"/>
    <pivotField showAll="0">
      <items count="3">
        <item x="0"/>
        <item x="1"/>
        <item t="default"/>
      </items>
    </pivotField>
    <pivotField showAll="0"/>
    <pivotField showAll="0"/>
    <pivotField showAll="0"/>
    <pivotField dataField="1" showAll="0"/>
    <pivotField showAll="0"/>
  </pivotFields>
  <rowItems count="1">
    <i/>
  </rowItems>
  <colItems count="1">
    <i/>
  </colItems>
  <dataFields count="1">
    <dataField name="Sum of total_bill" fld="5" baseField="0" baseItem="0"/>
  </dataFields>
  <formats count="8">
    <format dxfId="118">
      <pivotArea type="all" dataOnly="0" outline="0" fieldPosition="0"/>
    </format>
    <format dxfId="117">
      <pivotArea outline="0" collapsedLevelsAreSubtotals="1" fieldPosition="0"/>
    </format>
    <format dxfId="116">
      <pivotArea field="1" type="button" dataOnly="0" labelOnly="1" outline="0"/>
    </format>
    <format dxfId="115">
      <pivotArea dataOnly="0" labelOnly="1" grandRow="1" outline="0" fieldPosition="0"/>
    </format>
    <format dxfId="114">
      <pivotArea outline="0" collapsedLevelsAreSubtotals="1" fieldPosition="0"/>
    </format>
    <format dxfId="113">
      <pivotArea type="all" dataOnly="0" outline="0" fieldPosition="0"/>
    </format>
    <format dxfId="112">
      <pivotArea outline="0" collapsedLevelsAreSubtotals="1" fieldPosition="0"/>
    </format>
    <format dxfId="111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72D6778-E651-4FFA-B2D2-F1C469DC4399}" name="PivotTable5" cacheId="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rowHeaderCaption="Smoker">
  <location ref="F13:G14" firstHeaderRow="1" firstDataRow="1" firstDataCol="1"/>
  <pivotFields count="7">
    <pivotField showAll="0"/>
    <pivotField axis="axisRow" showAll="0">
      <items count="3">
        <item x="0"/>
        <item h="1" x="1"/>
        <item t="default"/>
      </items>
    </pivotField>
    <pivotField showAll="0"/>
    <pivotField showAll="0"/>
    <pivotField showAll="0"/>
    <pivotField showAll="0"/>
    <pivotField dataField="1" showAll="0"/>
  </pivotFields>
  <rowFields count="1">
    <field x="1"/>
  </rowFields>
  <rowItems count="1">
    <i>
      <x/>
    </i>
  </rowItems>
  <colItems count="1">
    <i/>
  </colItems>
  <dataFields count="1">
    <dataField name="Average of tip" fld="6" subtotal="average" baseField="1" baseItem="1" numFmtId="2"/>
  </dataFields>
  <formats count="17">
    <format dxfId="135">
      <pivotArea type="all" dataOnly="0" outline="0" fieldPosition="0"/>
    </format>
    <format dxfId="134">
      <pivotArea outline="0" collapsedLevelsAreSubtotals="1" fieldPosition="0"/>
    </format>
    <format dxfId="133">
      <pivotArea field="1" type="button" dataOnly="0" labelOnly="1" outline="0" axis="axisRow" fieldPosition="0"/>
    </format>
    <format dxfId="132">
      <pivotArea dataOnly="0" labelOnly="1" fieldPosition="0">
        <references count="1">
          <reference field="1" count="0"/>
        </references>
      </pivotArea>
    </format>
    <format dxfId="131">
      <pivotArea dataOnly="0" labelOnly="1" grandRow="1" outline="0" fieldPosition="0"/>
    </format>
    <format dxfId="130">
      <pivotArea dataOnly="0" labelOnly="1" outline="0" axis="axisValues" fieldPosition="0"/>
    </format>
    <format dxfId="129">
      <pivotArea outline="0" collapsedLevelsAreSubtotals="1" fieldPosition="0"/>
    </format>
    <format dxfId="128">
      <pivotArea type="all" dataOnly="0" outline="0" fieldPosition="0"/>
    </format>
    <format dxfId="127">
      <pivotArea outline="0" collapsedLevelsAreSubtotals="1" fieldPosition="0"/>
    </format>
    <format dxfId="126">
      <pivotArea field="1" type="button" dataOnly="0" labelOnly="1" outline="0" axis="axisRow" fieldPosition="0"/>
    </format>
    <format dxfId="125">
      <pivotArea dataOnly="0" labelOnly="1" fieldPosition="0">
        <references count="1">
          <reference field="1" count="0"/>
        </references>
      </pivotArea>
    </format>
    <format dxfId="124">
      <pivotArea dataOnly="0" labelOnly="1" outline="0" axis="axisValues" fieldPosition="0"/>
    </format>
    <format dxfId="123">
      <pivotArea type="all" dataOnly="0" outline="0" fieldPosition="0"/>
    </format>
    <format dxfId="122">
      <pivotArea outline="0" collapsedLevelsAreSubtotals="1" fieldPosition="0"/>
    </format>
    <format dxfId="121">
      <pivotArea field="1" type="button" dataOnly="0" labelOnly="1" outline="0" axis="axisRow" fieldPosition="0"/>
    </format>
    <format dxfId="120">
      <pivotArea dataOnly="0" labelOnly="1" fieldPosition="0">
        <references count="1">
          <reference field="1" count="0"/>
        </references>
      </pivotArea>
    </format>
    <format dxfId="119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A62DE00-D3AC-4817-B6E6-E1D98DB40F13}" name="PivotTable10" cacheId="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rowHeaderCaption="Smoker">
  <location ref="F10:G11" firstHeaderRow="1" firstDataRow="1" firstDataCol="1"/>
  <pivotFields count="7">
    <pivotField showAll="0"/>
    <pivotField axis="axisRow" showAll="0">
      <items count="3">
        <item x="0"/>
        <item h="1" x="1"/>
        <item t="default"/>
      </items>
    </pivotField>
    <pivotField showAll="0"/>
    <pivotField showAll="0"/>
    <pivotField showAll="0"/>
    <pivotField dataField="1" showAll="0"/>
    <pivotField showAll="0"/>
  </pivotFields>
  <rowFields count="1">
    <field x="1"/>
  </rowFields>
  <rowItems count="1">
    <i>
      <x/>
    </i>
  </rowItems>
  <colItems count="1">
    <i/>
  </colItems>
  <dataFields count="1">
    <dataField name="Average of total_bill" fld="5" subtotal="average" baseField="1" baseItem="0" numFmtId="2"/>
  </dataFields>
  <formats count="9">
    <format dxfId="144">
      <pivotArea type="all" dataOnly="0" outline="0" fieldPosition="0"/>
    </format>
    <format dxfId="143">
      <pivotArea outline="0" collapsedLevelsAreSubtotals="1" fieldPosition="0"/>
    </format>
    <format dxfId="142">
      <pivotArea dataOnly="0" labelOnly="1" grandRow="1" outline="0" fieldPosition="0"/>
    </format>
    <format dxfId="141">
      <pivotArea outline="0" collapsedLevelsAreSubtotals="1" fieldPosition="0"/>
    </format>
    <format dxfId="140">
      <pivotArea type="all" dataOnly="0" outline="0" fieldPosition="0"/>
    </format>
    <format dxfId="139">
      <pivotArea outline="0" collapsedLevelsAreSubtotals="1" fieldPosition="0"/>
    </format>
    <format dxfId="138">
      <pivotArea field="1" type="button" dataOnly="0" labelOnly="1" outline="0" axis="axisRow" fieldPosition="0"/>
    </format>
    <format dxfId="137">
      <pivotArea dataOnly="0" labelOnly="1" fieldPosition="0">
        <references count="1">
          <reference field="1" count="0"/>
        </references>
      </pivotArea>
    </format>
    <format dxfId="136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3BA205A-3719-4721-8BBA-FC98AFE67FEE}" name="PivotTable9" cacheId="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rowHeaderCaption="Smoker">
  <location ref="A7:B8" firstHeaderRow="1" firstDataRow="1" firstDataCol="1"/>
  <pivotFields count="7">
    <pivotField showAll="0"/>
    <pivotField axis="axisRow" showAll="0">
      <items count="3">
        <item h="1" x="0"/>
        <item x="1"/>
        <item t="default"/>
      </items>
    </pivotField>
    <pivotField showAll="0"/>
    <pivotField showAll="0"/>
    <pivotField showAll="0"/>
    <pivotField dataField="1" showAll="0"/>
    <pivotField showAll="0"/>
  </pivotFields>
  <rowFields count="1">
    <field x="1"/>
  </rowFields>
  <rowItems count="1">
    <i>
      <x v="1"/>
    </i>
  </rowItems>
  <colItems count="1">
    <i/>
  </colItems>
  <dataFields count="1">
    <dataField name="Sum of total_bill" fld="5" baseField="0" baseItem="0"/>
  </dataFields>
  <formats count="5">
    <format dxfId="149">
      <pivotArea type="all" dataOnly="0" outline="0" fieldPosition="0"/>
    </format>
    <format dxfId="148">
      <pivotArea outline="0" collapsedLevelsAreSubtotals="1" fieldPosition="0"/>
    </format>
    <format dxfId="147">
      <pivotArea field="1" type="button" dataOnly="0" labelOnly="1" outline="0" axis="axisRow" fieldPosition="0"/>
    </format>
    <format dxfId="146">
      <pivotArea dataOnly="0" labelOnly="1" fieldPosition="0">
        <references count="1">
          <reference field="1" count="0"/>
        </references>
      </pivotArea>
    </format>
    <format dxfId="145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38D76CC-16E7-4105-81DD-1AE3E4398B1F}" name="PivotTable4" cacheId="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rowHeaderCaption="Smoker">
  <location ref="A13:B14" firstHeaderRow="1" firstDataRow="1" firstDataCol="1"/>
  <pivotFields count="7">
    <pivotField showAll="0"/>
    <pivotField axis="axisRow" showAll="0">
      <items count="3">
        <item h="1" x="0"/>
        <item x="1"/>
        <item t="default"/>
      </items>
    </pivotField>
    <pivotField showAll="0"/>
    <pivotField showAll="0"/>
    <pivotField showAll="0"/>
    <pivotField showAll="0"/>
    <pivotField dataField="1" showAll="0"/>
  </pivotFields>
  <rowFields count="1">
    <field x="1"/>
  </rowFields>
  <rowItems count="1">
    <i>
      <x v="1"/>
    </i>
  </rowItems>
  <colItems count="1">
    <i/>
  </colItems>
  <dataFields count="1">
    <dataField name="Average of tip" fld="6" subtotal="average" baseField="1" baseItem="1" numFmtId="2"/>
  </dataFields>
  <formats count="17">
    <format dxfId="166">
      <pivotArea type="all" dataOnly="0" outline="0" fieldPosition="0"/>
    </format>
    <format dxfId="165">
      <pivotArea outline="0" collapsedLevelsAreSubtotals="1" fieldPosition="0"/>
    </format>
    <format dxfId="164">
      <pivotArea field="1" type="button" dataOnly="0" labelOnly="1" outline="0" axis="axisRow" fieldPosition="0"/>
    </format>
    <format dxfId="163">
      <pivotArea dataOnly="0" labelOnly="1" fieldPosition="0">
        <references count="1">
          <reference field="1" count="0"/>
        </references>
      </pivotArea>
    </format>
    <format dxfId="162">
      <pivotArea dataOnly="0" labelOnly="1" grandRow="1" outline="0" fieldPosition="0"/>
    </format>
    <format dxfId="161">
      <pivotArea dataOnly="0" labelOnly="1" outline="0" axis="axisValues" fieldPosition="0"/>
    </format>
    <format dxfId="160">
      <pivotArea outline="0" collapsedLevelsAreSubtotals="1" fieldPosition="0"/>
    </format>
    <format dxfId="159">
      <pivotArea type="all" dataOnly="0" outline="0" fieldPosition="0"/>
    </format>
    <format dxfId="158">
      <pivotArea outline="0" collapsedLevelsAreSubtotals="1" fieldPosition="0"/>
    </format>
    <format dxfId="157">
      <pivotArea field="1" type="button" dataOnly="0" labelOnly="1" outline="0" axis="axisRow" fieldPosition="0"/>
    </format>
    <format dxfId="156">
      <pivotArea dataOnly="0" labelOnly="1" fieldPosition="0">
        <references count="1">
          <reference field="1" count="0"/>
        </references>
      </pivotArea>
    </format>
    <format dxfId="155">
      <pivotArea dataOnly="0" labelOnly="1" outline="0" axis="axisValues" fieldPosition="0"/>
    </format>
    <format dxfId="154">
      <pivotArea type="all" dataOnly="0" outline="0" fieldPosition="0"/>
    </format>
    <format dxfId="153">
      <pivotArea outline="0" collapsedLevelsAreSubtotals="1" fieldPosition="0"/>
    </format>
    <format dxfId="152">
      <pivotArea field="1" type="button" dataOnly="0" labelOnly="1" outline="0" axis="axisRow" fieldPosition="0"/>
    </format>
    <format dxfId="151">
      <pivotArea dataOnly="0" labelOnly="1" fieldPosition="0">
        <references count="1">
          <reference field="1" count="0"/>
        </references>
      </pivotArea>
    </format>
    <format dxfId="150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2C76C55-41B8-4A53-8A36-D144B0936209}" name="PivotTable10" cacheId="128" applyNumberFormats="0" applyBorderFormats="0" applyFontFormats="0" applyPatternFormats="0" applyAlignmentFormats="0" applyWidthHeightFormats="1" dataCaption="Values" updatedVersion="8" minRefreshableVersion="3" useAutoFormatting="1" subtotalHiddenItems="1" rowGrandTotals="0" colGrandTotals="0" itemPrintTitles="1" createdVersion="8" indent="0" outline="1" outlineData="1" multipleFieldFilters="0" chartFormat="2" rowHeaderCaption="Sex">
  <location ref="D55:F57" firstHeaderRow="0" firstDataRow="1" firstDataCol="1"/>
  <pivotFields count="3">
    <pivotField axis="axisRow" allDrilled="1" subtotalTop="0" showAll="0" dataSourceSort="1" defaultSubtotal="0" defaultAttributeDrillState="1">
      <items count="2">
        <item x="0"/>
        <item x="1"/>
      </items>
    </pivotField>
    <pivotField dataField="1" subtotalTop="0" showAll="0" defaultSubtotal="0"/>
    <pivotField dataField="1" subtotalTop="0" showAll="0" defaultSubtotal="0"/>
  </pivotFields>
  <rowFields count="1">
    <field x="0"/>
  </rowFields>
  <rowItems count="2">
    <i>
      <x/>
    </i>
    <i>
      <x v="1"/>
    </i>
  </rowItems>
  <colFields count="1">
    <field x="-2"/>
  </colFields>
  <colItems count="2">
    <i>
      <x/>
    </i>
    <i i="1">
      <x v="1"/>
    </i>
  </colItems>
  <dataFields count="2">
    <dataField name="Sum of tip" fld="1" baseField="0" baseItem="1"/>
    <dataField name="Sum of total_bill" fld="2" baseField="0" baseItem="0"/>
  </dataFields>
  <formats count="2">
    <format dxfId="0">
      <pivotArea field="0" type="button" dataOnly="0" labelOnly="1" outline="0" axis="axisRow" fieldPosition="0"/>
    </format>
    <format dxfId="1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Hierarchies count="17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0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tips!$A$1:$G$244">
        <x15:activeTabTopLevelEntity name="[Rang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3269578-A9A8-42D6-8120-A293B2D2FE6C}" name="PivotTable9" cacheId="0" applyNumberFormats="0" applyBorderFormats="0" applyFontFormats="0" applyPatternFormats="0" applyAlignmentFormats="0" applyWidthHeightFormats="1" dataCaption="Values" updatedVersion="8" minRefreshableVersion="3" showDrill="0" useAutoFormatting="1" rowGrandTotals="0" itemPrintTitles="1" createdVersion="8" indent="0" outline="1" outlineData="1" multipleFieldFilters="0" chartFormat="6" rowHeaderCaption="Sex">
  <location ref="D52:G54" firstHeaderRow="0" firstDataRow="1" firstDataCol="1"/>
  <pivotFields count="7">
    <pivotField axis="axisRow" dataField="1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dataField="1" showAll="0"/>
    <pivotField dataField="1" showAll="0"/>
  </pivotFields>
  <rowFields count="1">
    <field x="0"/>
  </rowFields>
  <rowItems count="2">
    <i>
      <x/>
    </i>
    <i>
      <x v="1"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total_bill" fld="5" baseField="0" baseItem="0"/>
    <dataField name="Sum of tip" fld="6" baseField="0" baseItem="0"/>
    <dataField name="Count by Sex" fld="0" subtotal="count" baseField="0" baseItem="0"/>
  </dataFields>
  <formats count="2">
    <format dxfId="3">
      <pivotArea field="0" type="button" dataOnly="0" labelOnly="1" outline="0" axis="axisRow" fieldPosition="0"/>
    </format>
    <format dxfId="2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</formats>
  <chartFormats count="3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08B875E-242D-4051-A1B0-02A170D91AA6}" name="PivotTable8" cacheId="127" applyNumberFormats="0" applyBorderFormats="0" applyFontFormats="0" applyPatternFormats="0" applyAlignmentFormats="0" applyWidthHeightFormats="1" dataCaption="Values" updatedVersion="8" minRefreshableVersion="3" useAutoFormatting="1" subtotalHiddenItems="1" rowGrandTotals="0" colGrandTotals="0" itemPrintTitles="1" createdVersion="8" indent="0" outline="1" outlineData="1" multipleFieldFilters="0" rowHeaderCaption="smoker">
  <location ref="F46:G48" firstHeaderRow="1" firstDataRow="1" firstDataCol="1"/>
  <pivotFields count="2">
    <pivotField axis="axisRow" allDrilled="1" subtotalTop="0" showAll="0" dataSourceSort="1" defaultSubtotal="0" defaultAttributeDrillState="1">
      <items count="2">
        <item x="0"/>
        <item x="1"/>
      </items>
    </pivotField>
    <pivotField dataField="1" subtotalTop="0" showAll="0" defaultSubtotal="0"/>
  </pivotFields>
  <rowFields count="1">
    <field x="0"/>
  </rowFields>
  <rowItems count="2">
    <i>
      <x/>
    </i>
    <i>
      <x v="1"/>
    </i>
  </rowItems>
  <colItems count="1">
    <i/>
  </colItems>
  <dataFields count="1">
    <dataField name="Total tip" fld="1" baseField="0" baseItem="0"/>
  </dataFields>
  <pivotHierarchies count="17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 caption="Total tip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tips!$A$1:$G$244">
        <x15:activeTabTopLevelEntity name="[Rang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9BE855B-0D7A-4B01-B568-DAA96A8A9B2B}" name="PivotTable7" cacheId="126" applyNumberFormats="0" applyBorderFormats="0" applyFontFormats="0" applyPatternFormats="0" applyAlignmentFormats="0" applyWidthHeightFormats="1" dataCaption="Values" updatedVersion="8" minRefreshableVersion="3" useAutoFormatting="1" subtotalHiddenItems="1" rowGrandTotals="0" colGrandTotals="0" itemPrintTitles="1" createdVersion="8" indent="0" outline="1" outlineData="1" multipleFieldFilters="0" rowHeaderCaption="smoker">
  <location ref="F42:H44" firstHeaderRow="0" firstDataRow="1" firstDataCol="1"/>
  <pivotFields count="3">
    <pivotField axis="axisRow" allDrilled="1" subtotalTop="0" showAll="0" dataSourceSort="1" defaultSubtotal="0" defaultAttributeDrillState="1">
      <items count="2">
        <item x="0"/>
        <item x="1"/>
      </items>
    </pivotField>
    <pivotField dataField="1" subtotalTop="0" showAll="0" defaultSubtotal="0"/>
    <pivotField dataField="1" subtotalTop="0" showAll="0" defaultSubtotal="0"/>
  </pivotFields>
  <rowFields count="1">
    <field x="0"/>
  </rowFields>
  <rowItems count="2">
    <i>
      <x/>
    </i>
    <i>
      <x v="1"/>
    </i>
  </rowItems>
  <colFields count="1">
    <field x="-2"/>
  </colFields>
  <colItems count="2">
    <i>
      <x/>
    </i>
    <i i="1">
      <x v="1"/>
    </i>
  </colItems>
  <dataFields count="2">
    <dataField name="Total revenue" fld="1" baseField="0" baseItem="0"/>
    <dataField name="Count of smoker" fld="2" subtotal="count" baseField="0" baseItem="0"/>
  </dataFields>
  <pivotHierarchies count="17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 caption="% of total revenue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tips!$A$1:$G$244">
        <x15:activeTabTopLevelEntity name="[Rang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A15D0A7-9722-4B50-A9B7-71557FE5C57F}" name="PivotTable6" cacheId="125" applyNumberFormats="0" applyBorderFormats="0" applyFontFormats="0" applyPatternFormats="0" applyAlignmentFormats="0" applyWidthHeightFormats="1" dataCaption="Values" updatedVersion="8" minRefreshableVersion="3" useAutoFormatting="1" subtotalHiddenItems="1" rowGrandTotals="0" colGrandTotals="0" itemPrintTitles="1" createdVersion="8" indent="0" outline="1" outlineData="1" multipleFieldFilters="0" chartFormat="14" rowHeaderCaption="Time">
  <location ref="A27:B37" firstHeaderRow="1" firstDataRow="1" firstDataCol="1"/>
  <pivotFields count="3">
    <pivotField axis="axisRow" allDrilled="1" subtotalTop="0" showAll="0" sortType="descending" defaultSubtotal="0" defaultAttributeDrillState="1">
      <items count="4">
        <item x="0"/>
        <item x="1"/>
        <item x="2"/>
        <item x="3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allDrilled="1" subtotalTop="0" showAll="0" sortType="ascending" defaultSubtotal="0" defaultAttributeDrillState="1">
      <items count="2">
        <item x="0"/>
        <item x="1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</pivotFields>
  <rowFields count="2">
    <field x="0"/>
    <field x="1"/>
  </rowFields>
  <rowItems count="10">
    <i>
      <x v="1"/>
    </i>
    <i r="1">
      <x/>
    </i>
    <i>
      <x v="2"/>
    </i>
    <i r="1">
      <x/>
    </i>
    <i>
      <x v="3"/>
    </i>
    <i r="1">
      <x/>
    </i>
    <i r="1">
      <x v="1"/>
    </i>
    <i>
      <x/>
    </i>
    <i r="1">
      <x v="1"/>
    </i>
    <i r="1">
      <x/>
    </i>
  </rowItems>
  <colItems count="1">
    <i/>
  </colItems>
  <dataFields count="1">
    <dataField name="Count of size" fld="2" subtotal="count" baseField="0" baseItem="1" numFmtId="10">
      <extLst>
        <ext xmlns:x14="http://schemas.microsoft.com/office/spreadsheetml/2009/9/main" uri="{E15A36E0-9728-4e99-A89B-3F7291B0FE68}">
          <x14:dataField pivotShowAs="percentOfParentRow"/>
        </ext>
      </extLst>
    </dataField>
  </dataFields>
  <formats count="3">
    <format dxfId="11">
      <pivotArea type="all" dataOnly="0" outline="0" fieldPosition="0"/>
    </format>
    <format dxfId="12">
      <pivotArea outline="0" collapsedLevelsAreSubtotals="1" fieldPosition="0"/>
    </format>
    <format dxfId="10">
      <pivotArea outline="0" fieldPosition="0">
        <references count="1">
          <reference field="4294967294" count="1">
            <x v="0"/>
          </reference>
        </references>
      </pivotArea>
    </format>
  </formats>
  <chartFormats count="1">
    <chartFormat chart="1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17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 caption="percent of amoker and non smokers"/>
    <pivotHierarchy dragToData="1"/>
    <pivotHierarchy dragToData="1" caption="Average of tip size"/>
    <pivotHierarchy dragToData="1"/>
    <pivotHierarchy dragToData="1"/>
    <pivotHierarchy dragToData="1" caption="Count of size"/>
  </pivotHierarchies>
  <pivotTableStyleInfo name="PivotStyleLight16" showRowHeaders="1" showColHeaders="1" showRowStripes="0" showColStripes="0" showLastColumn="1"/>
  <rowHierarchiesUsage count="2">
    <rowHierarchyUsage hierarchyUsage="2"/>
    <rowHierarchyUsage hierarchyUsage="3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tips!$A$1:$G$244">
        <x15:activeTabTopLevelEntity name="[Rang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1C1571B-07FA-474E-8839-2B51C68606E1}" name="PivotTable5" cacheId="101" applyNumberFormats="0" applyBorderFormats="0" applyFontFormats="0" applyPatternFormats="0" applyAlignmentFormats="0" applyWidthHeightFormats="1" dataCaption="Values" updatedVersion="8" minRefreshableVersion="3" useAutoFormatting="1" subtotalHiddenItems="1" rowGrandTotals="0" colGrandTotals="0" itemPrintTitles="1" createdVersion="8" indent="0" outline="1" outlineData="1" multipleFieldFilters="0" chartFormat="13" rowHeaderCaption="Time">
  <location ref="A16:B20" firstHeaderRow="1" firstDataRow="1" firstDataCol="1"/>
  <pivotFields count="2">
    <pivotField axis="axisRow" allDrilled="1" subtotalTop="0" showAll="0" sortType="descending" defaultSubtotal="0" defaultAttributeDrillState="1">
      <items count="4">
        <item x="0"/>
        <item x="1"/>
        <item x="2"/>
        <item x="3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</pivotFields>
  <rowFields count="1">
    <field x="0"/>
  </rowFields>
  <rowItems count="4">
    <i>
      <x v="1"/>
    </i>
    <i>
      <x v="2"/>
    </i>
    <i>
      <x v="3"/>
    </i>
    <i>
      <x/>
    </i>
  </rowItems>
  <colItems count="1">
    <i/>
  </colItems>
  <dataFields count="1">
    <dataField name="Sum of total_bill" fld="1" baseField="0" baseItem="0"/>
  </dataFields>
  <formats count="2">
    <format dxfId="13">
      <pivotArea type="all" dataOnly="0" outline="0" fieldPosition="0"/>
    </format>
    <format dxfId="14">
      <pivotArea outline="0" collapsedLevelsAreSubtotals="1" fieldPosition="0"/>
    </format>
  </formats>
  <chartFormats count="1">
    <chartFormat chart="1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17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 caption="percent of amoker and non smokers"/>
    <pivotHierarchy dragToData="1"/>
    <pivotHierarchy dragToData="1" caption="Average of tip size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2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tips!$A$1:$G$244">
        <x15:activeTabTopLevelEntity name="[Rang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20A6455-9558-47CA-A703-7FF6AF809C5F}" name="PivotTable4" cacheId="102" applyNumberFormats="0" applyBorderFormats="0" applyFontFormats="0" applyPatternFormats="0" applyAlignmentFormats="0" applyWidthHeightFormats="1" dataCaption="Values" updatedVersion="8" minRefreshableVersion="3" useAutoFormatting="1" subtotalHiddenItems="1" rowGrandTotals="0" colGrandTotals="0" itemPrintTitles="1" createdVersion="8" indent="0" outline="1" outlineData="1" multipleFieldFilters="0" chartFormat="9" rowHeaderCaption="Time">
  <location ref="A8:B10" firstHeaderRow="1" firstDataRow="1" firstDataCol="1"/>
  <pivotFields count="2">
    <pivotField axis="axisRow" allDrilled="1" subtotalTop="0" showAll="0" dataSourceSort="1" defaultSubtotal="0" defaultAttributeDrillState="1">
      <items count="2">
        <item x="0"/>
        <item x="1"/>
      </items>
    </pivotField>
    <pivotField dataField="1" subtotalTop="0" showAll="0" defaultSubtotal="0"/>
  </pivotFields>
  <rowFields count="1">
    <field x="0"/>
  </rowFields>
  <rowItems count="2">
    <i>
      <x/>
    </i>
    <i>
      <x v="1"/>
    </i>
  </rowItems>
  <colItems count="1">
    <i/>
  </colItems>
  <dataFields count="1">
    <dataField name="Sum of tip" fld="1" baseField="0" baseItem="0"/>
  </dataFields>
  <formats count="6">
    <format dxfId="20">
      <pivotArea type="all" dataOnly="0" outline="0" fieldPosition="0"/>
    </format>
    <format dxfId="19">
      <pivotArea outline="0" collapsedLevelsAreSubtotals="1" fieldPosition="0"/>
    </format>
    <format dxfId="18">
      <pivotArea field="0" type="button" dataOnly="0" labelOnly="1" outline="0" axis="axisRow" fieldPosition="0"/>
    </format>
    <format dxfId="17">
      <pivotArea dataOnly="0" labelOnly="1" fieldPosition="0">
        <references count="1">
          <reference field="0" count="0"/>
        </references>
      </pivotArea>
    </format>
    <format dxfId="16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15">
      <pivotArea dataOnly="0" labelOnly="1" outline="0" fieldPosition="0">
        <references count="1">
          <reference field="4294967294" count="1">
            <x v="0"/>
          </reference>
        </references>
      </pivotArea>
    </format>
  </formats>
  <chartFormats count="5">
    <chartFormat chart="4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17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 caption="percent of amoker and non smokers"/>
    <pivotHierarchy dragToData="1"/>
    <pivotHierarchy dragToData="1" caption="Average of tip size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3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tips!$A$1:$G$244">
        <x15:activeTabTopLevelEntity name="[Rang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Aspect">
      <a:dk1>
        <a:sysClr val="windowText" lastClr="000000"/>
      </a:dk1>
      <a:lt1>
        <a:sysClr val="window" lastClr="FFFFFF"/>
      </a:lt1>
      <a:dk2>
        <a:srgbClr val="323232"/>
      </a:dk2>
      <a:lt2>
        <a:srgbClr val="E3DED1"/>
      </a:lt2>
      <a:accent1>
        <a:srgbClr val="F07F09"/>
      </a:accent1>
      <a:accent2>
        <a:srgbClr val="9F2936"/>
      </a:accent2>
      <a:accent3>
        <a:srgbClr val="1B587C"/>
      </a:accent3>
      <a:accent4>
        <a:srgbClr val="4E8542"/>
      </a:accent4>
      <a:accent5>
        <a:srgbClr val="604878"/>
      </a:accent5>
      <a:accent6>
        <a:srgbClr val="C19859"/>
      </a:accent6>
      <a:hlink>
        <a:srgbClr val="6B9F25"/>
      </a:hlink>
      <a:folHlink>
        <a:srgbClr val="B26B0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8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11.xml"/><Relationship Id="rId3" Type="http://schemas.openxmlformats.org/officeDocument/2006/relationships/pivotTable" Target="../pivotTables/pivotTable6.xml"/><Relationship Id="rId7" Type="http://schemas.openxmlformats.org/officeDocument/2006/relationships/pivotTable" Target="../pivotTables/pivotTable10.xml"/><Relationship Id="rId2" Type="http://schemas.openxmlformats.org/officeDocument/2006/relationships/pivotTable" Target="../pivotTables/pivotTable5.xml"/><Relationship Id="rId1" Type="http://schemas.openxmlformats.org/officeDocument/2006/relationships/pivotTable" Target="../pivotTables/pivotTable4.xml"/><Relationship Id="rId6" Type="http://schemas.openxmlformats.org/officeDocument/2006/relationships/pivotTable" Target="../pivotTables/pivotTable9.xml"/><Relationship Id="rId5" Type="http://schemas.openxmlformats.org/officeDocument/2006/relationships/pivotTable" Target="../pivotTables/pivotTable8.xml"/><Relationship Id="rId4" Type="http://schemas.openxmlformats.org/officeDocument/2006/relationships/pivotTable" Target="../pivotTables/pivotTable7.xml"/><Relationship Id="rId9" Type="http://schemas.openxmlformats.org/officeDocument/2006/relationships/pivotTable" Target="../pivotTables/pivotTable12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15.xml"/><Relationship Id="rId2" Type="http://schemas.openxmlformats.org/officeDocument/2006/relationships/pivotTable" Target="../pivotTables/pivotTable14.xml"/><Relationship Id="rId1" Type="http://schemas.openxmlformats.org/officeDocument/2006/relationships/pivotTable" Target="../pivotTables/pivotTable13.xml"/><Relationship Id="rId6" Type="http://schemas.openxmlformats.org/officeDocument/2006/relationships/drawing" Target="../drawings/drawing5.xml"/><Relationship Id="rId5" Type="http://schemas.openxmlformats.org/officeDocument/2006/relationships/pivotTable" Target="../pivotTables/pivotTable17.xml"/><Relationship Id="rId4" Type="http://schemas.openxmlformats.org/officeDocument/2006/relationships/pivotTable" Target="../pivotTables/pivotTable16.xml"/></Relationships>
</file>

<file path=xl/worksheets/_rels/sheet20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25.xml"/><Relationship Id="rId3" Type="http://schemas.openxmlformats.org/officeDocument/2006/relationships/pivotTable" Target="../pivotTables/pivotTable20.xml"/><Relationship Id="rId7" Type="http://schemas.openxmlformats.org/officeDocument/2006/relationships/pivotTable" Target="../pivotTables/pivotTable24.xml"/><Relationship Id="rId2" Type="http://schemas.openxmlformats.org/officeDocument/2006/relationships/pivotTable" Target="../pivotTables/pivotTable19.xml"/><Relationship Id="rId1" Type="http://schemas.openxmlformats.org/officeDocument/2006/relationships/pivotTable" Target="../pivotTables/pivotTable18.xml"/><Relationship Id="rId6" Type="http://schemas.openxmlformats.org/officeDocument/2006/relationships/pivotTable" Target="../pivotTables/pivotTable23.xml"/><Relationship Id="rId11" Type="http://schemas.openxmlformats.org/officeDocument/2006/relationships/drawing" Target="../drawings/drawing6.xml"/><Relationship Id="rId5" Type="http://schemas.openxmlformats.org/officeDocument/2006/relationships/pivotTable" Target="../pivotTables/pivotTable22.xml"/><Relationship Id="rId10" Type="http://schemas.openxmlformats.org/officeDocument/2006/relationships/pivotTable" Target="../pivotTables/pivotTable27.xml"/><Relationship Id="rId4" Type="http://schemas.openxmlformats.org/officeDocument/2006/relationships/pivotTable" Target="../pivotTables/pivotTable21.xml"/><Relationship Id="rId9" Type="http://schemas.openxmlformats.org/officeDocument/2006/relationships/pivotTable" Target="../pivotTables/pivotTable26.xml"/></Relationships>
</file>

<file path=xl/worksheets/_rels/sheet21.xml.rels><?xml version="1.0" encoding="UTF-8" standalone="yes"?>
<Relationships xmlns="http://schemas.openxmlformats.org/package/2006/relationships"><Relationship Id="rId8" Type="http://schemas.openxmlformats.org/officeDocument/2006/relationships/drawing" Target="../drawings/drawing7.xml"/><Relationship Id="rId3" Type="http://schemas.openxmlformats.org/officeDocument/2006/relationships/pivotTable" Target="../pivotTables/pivotTable30.xml"/><Relationship Id="rId7" Type="http://schemas.openxmlformats.org/officeDocument/2006/relationships/pivotTable" Target="../pivotTables/pivotTable34.xml"/><Relationship Id="rId2" Type="http://schemas.openxmlformats.org/officeDocument/2006/relationships/pivotTable" Target="../pivotTables/pivotTable29.xml"/><Relationship Id="rId1" Type="http://schemas.openxmlformats.org/officeDocument/2006/relationships/pivotTable" Target="../pivotTables/pivotTable28.xml"/><Relationship Id="rId6" Type="http://schemas.openxmlformats.org/officeDocument/2006/relationships/pivotTable" Target="../pivotTables/pivotTable33.xml"/><Relationship Id="rId5" Type="http://schemas.openxmlformats.org/officeDocument/2006/relationships/pivotTable" Target="../pivotTables/pivotTable32.xml"/><Relationship Id="rId4" Type="http://schemas.openxmlformats.org/officeDocument/2006/relationships/pivotTable" Target="../pivotTables/pivotTable3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47EB0B-904D-4A32-AC49-EEE4C902527F}">
  <dimension ref="A1:K244"/>
  <sheetViews>
    <sheetView workbookViewId="0">
      <selection activeCell="B13" sqref="B13"/>
    </sheetView>
  </sheetViews>
  <sheetFormatPr defaultColWidth="13.44140625" defaultRowHeight="14.4" x14ac:dyDescent="0.3"/>
  <cols>
    <col min="8" max="8" width="13.6640625" bestFit="1" customWidth="1"/>
    <col min="11" max="11" width="46" bestFit="1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11" x14ac:dyDescent="0.3">
      <c r="A2" t="s">
        <v>7</v>
      </c>
      <c r="B2" t="s">
        <v>22</v>
      </c>
      <c r="C2" t="s">
        <v>21</v>
      </c>
      <c r="D2" t="s">
        <v>10</v>
      </c>
      <c r="E2">
        <v>1</v>
      </c>
      <c r="F2">
        <v>3.07</v>
      </c>
      <c r="G2">
        <v>1</v>
      </c>
      <c r="H2" s="12"/>
    </row>
    <row r="3" spans="1:11" x14ac:dyDescent="0.3">
      <c r="A3" t="s">
        <v>7</v>
      </c>
      <c r="B3" t="s">
        <v>22</v>
      </c>
      <c r="C3" t="s">
        <v>25</v>
      </c>
      <c r="D3" t="s">
        <v>10</v>
      </c>
      <c r="E3">
        <v>2</v>
      </c>
      <c r="F3">
        <v>5.75</v>
      </c>
      <c r="G3">
        <v>1</v>
      </c>
      <c r="H3" s="12"/>
      <c r="J3" s="1" t="s">
        <v>12</v>
      </c>
      <c r="K3" s="1" t="s">
        <v>13</v>
      </c>
    </row>
    <row r="4" spans="1:11" x14ac:dyDescent="0.3">
      <c r="A4" t="s">
        <v>7</v>
      </c>
      <c r="B4" t="s">
        <v>8</v>
      </c>
      <c r="C4" t="s">
        <v>21</v>
      </c>
      <c r="D4" t="s">
        <v>10</v>
      </c>
      <c r="E4">
        <v>1</v>
      </c>
      <c r="F4">
        <v>7.25</v>
      </c>
      <c r="G4">
        <v>1</v>
      </c>
      <c r="H4" s="12"/>
      <c r="J4" s="1" t="s">
        <v>1</v>
      </c>
      <c r="K4" s="1" t="s">
        <v>14</v>
      </c>
    </row>
    <row r="5" spans="1:11" x14ac:dyDescent="0.3">
      <c r="A5" t="s">
        <v>11</v>
      </c>
      <c r="B5" t="s">
        <v>22</v>
      </c>
      <c r="C5" t="s">
        <v>9</v>
      </c>
      <c r="D5" t="s">
        <v>10</v>
      </c>
      <c r="E5">
        <v>2</v>
      </c>
      <c r="F5">
        <v>7.25</v>
      </c>
      <c r="G5">
        <v>5.15</v>
      </c>
      <c r="H5" s="12"/>
      <c r="J5" s="1" t="s">
        <v>2</v>
      </c>
      <c r="K5" s="1" t="s">
        <v>15</v>
      </c>
    </row>
    <row r="6" spans="1:11" x14ac:dyDescent="0.3">
      <c r="A6" t="s">
        <v>11</v>
      </c>
      <c r="B6" t="s">
        <v>8</v>
      </c>
      <c r="C6" t="s">
        <v>23</v>
      </c>
      <c r="D6" t="s">
        <v>24</v>
      </c>
      <c r="E6">
        <v>2</v>
      </c>
      <c r="F6">
        <v>7.51</v>
      </c>
      <c r="G6">
        <v>2</v>
      </c>
      <c r="H6" s="12"/>
      <c r="J6" s="1" t="s">
        <v>3</v>
      </c>
      <c r="K6" s="1" t="s">
        <v>16</v>
      </c>
    </row>
    <row r="7" spans="1:11" x14ac:dyDescent="0.3">
      <c r="A7" t="s">
        <v>11</v>
      </c>
      <c r="B7" t="s">
        <v>8</v>
      </c>
      <c r="C7" t="s">
        <v>23</v>
      </c>
      <c r="D7" t="s">
        <v>24</v>
      </c>
      <c r="E7">
        <v>2</v>
      </c>
      <c r="F7">
        <v>7.56</v>
      </c>
      <c r="G7">
        <v>1.44</v>
      </c>
      <c r="H7" s="12"/>
      <c r="J7" s="1" t="s">
        <v>4</v>
      </c>
      <c r="K7" s="1" t="s">
        <v>17</v>
      </c>
    </row>
    <row r="8" spans="1:11" x14ac:dyDescent="0.3">
      <c r="A8" t="s">
        <v>11</v>
      </c>
      <c r="B8" t="s">
        <v>22</v>
      </c>
      <c r="C8" t="s">
        <v>21</v>
      </c>
      <c r="D8" t="s">
        <v>10</v>
      </c>
      <c r="E8">
        <v>2</v>
      </c>
      <c r="F8">
        <v>7.74</v>
      </c>
      <c r="G8">
        <v>1.44</v>
      </c>
      <c r="H8" s="12"/>
      <c r="J8" s="1" t="s">
        <v>18</v>
      </c>
      <c r="K8" s="1" t="s">
        <v>19</v>
      </c>
    </row>
    <row r="9" spans="1:11" x14ac:dyDescent="0.3">
      <c r="A9" t="s">
        <v>7</v>
      </c>
      <c r="B9" t="s">
        <v>8</v>
      </c>
      <c r="C9" t="s">
        <v>23</v>
      </c>
      <c r="D9" t="s">
        <v>24</v>
      </c>
      <c r="E9">
        <v>2</v>
      </c>
      <c r="F9">
        <v>8.35</v>
      </c>
      <c r="G9">
        <v>1.5</v>
      </c>
      <c r="H9" s="12"/>
      <c r="J9" s="1" t="s">
        <v>6</v>
      </c>
      <c r="K9" s="1" t="s">
        <v>20</v>
      </c>
    </row>
    <row r="10" spans="1:11" x14ac:dyDescent="0.3">
      <c r="A10" t="s">
        <v>7</v>
      </c>
      <c r="B10" t="s">
        <v>8</v>
      </c>
      <c r="C10" t="s">
        <v>23</v>
      </c>
      <c r="D10" t="s">
        <v>24</v>
      </c>
      <c r="E10">
        <v>2</v>
      </c>
      <c r="F10">
        <v>8.51</v>
      </c>
      <c r="G10">
        <v>1.25</v>
      </c>
      <c r="H10" s="12"/>
    </row>
    <row r="11" spans="1:11" x14ac:dyDescent="0.3">
      <c r="A11" t="s">
        <v>11</v>
      </c>
      <c r="B11" t="s">
        <v>8</v>
      </c>
      <c r="C11" t="s">
        <v>23</v>
      </c>
      <c r="D11" t="s">
        <v>24</v>
      </c>
      <c r="E11">
        <v>2</v>
      </c>
      <c r="F11">
        <v>8.52</v>
      </c>
      <c r="G11">
        <v>1.48</v>
      </c>
      <c r="H11" s="12"/>
    </row>
    <row r="12" spans="1:11" x14ac:dyDescent="0.3">
      <c r="A12" t="s">
        <v>11</v>
      </c>
      <c r="B12" t="s">
        <v>22</v>
      </c>
      <c r="C12" t="s">
        <v>25</v>
      </c>
      <c r="D12" t="s">
        <v>24</v>
      </c>
      <c r="E12">
        <v>1</v>
      </c>
      <c r="F12">
        <v>8.58</v>
      </c>
      <c r="G12">
        <v>1.92</v>
      </c>
      <c r="H12" s="12"/>
    </row>
    <row r="13" spans="1:11" x14ac:dyDescent="0.3">
      <c r="A13" t="s">
        <v>11</v>
      </c>
      <c r="B13" t="s">
        <v>8</v>
      </c>
      <c r="C13" t="s">
        <v>9</v>
      </c>
      <c r="D13" t="s">
        <v>10</v>
      </c>
      <c r="E13">
        <v>2</v>
      </c>
      <c r="F13">
        <v>8.77</v>
      </c>
      <c r="G13">
        <v>2</v>
      </c>
      <c r="H13" s="12"/>
    </row>
    <row r="14" spans="1:11" x14ac:dyDescent="0.3">
      <c r="A14" t="s">
        <v>11</v>
      </c>
      <c r="B14" t="s">
        <v>8</v>
      </c>
      <c r="C14" t="s">
        <v>21</v>
      </c>
      <c r="D14" t="s">
        <v>10</v>
      </c>
      <c r="E14">
        <v>2</v>
      </c>
      <c r="F14">
        <v>9.5500000000000007</v>
      </c>
      <c r="G14">
        <v>1.45</v>
      </c>
      <c r="H14" s="12"/>
    </row>
    <row r="15" spans="1:11" x14ac:dyDescent="0.3">
      <c r="A15" t="s">
        <v>7</v>
      </c>
      <c r="B15" t="s">
        <v>22</v>
      </c>
      <c r="C15" t="s">
        <v>9</v>
      </c>
      <c r="D15" t="s">
        <v>10</v>
      </c>
      <c r="E15">
        <v>2</v>
      </c>
      <c r="F15">
        <v>9.6</v>
      </c>
      <c r="G15">
        <v>4</v>
      </c>
      <c r="H15" s="12"/>
    </row>
    <row r="16" spans="1:11" x14ac:dyDescent="0.3">
      <c r="A16" t="s">
        <v>11</v>
      </c>
      <c r="B16" t="s">
        <v>8</v>
      </c>
      <c r="C16" t="s">
        <v>9</v>
      </c>
      <c r="D16" t="s">
        <v>10</v>
      </c>
      <c r="E16">
        <v>2</v>
      </c>
      <c r="F16">
        <v>9.68</v>
      </c>
      <c r="G16">
        <v>1.32</v>
      </c>
      <c r="H16" s="12"/>
    </row>
    <row r="17" spans="1:8" x14ac:dyDescent="0.3">
      <c r="A17" t="s">
        <v>11</v>
      </c>
      <c r="B17" t="s">
        <v>8</v>
      </c>
      <c r="C17" t="s">
        <v>23</v>
      </c>
      <c r="D17" t="s">
        <v>24</v>
      </c>
      <c r="E17">
        <v>2</v>
      </c>
      <c r="F17">
        <v>9.7799999999999994</v>
      </c>
      <c r="G17">
        <v>1.73</v>
      </c>
      <c r="H17" s="12"/>
    </row>
    <row r="18" spans="1:8" x14ac:dyDescent="0.3">
      <c r="A18" t="s">
        <v>11</v>
      </c>
      <c r="B18" t="s">
        <v>8</v>
      </c>
      <c r="C18" t="s">
        <v>9</v>
      </c>
      <c r="D18" t="s">
        <v>10</v>
      </c>
      <c r="E18">
        <v>2</v>
      </c>
      <c r="F18">
        <v>9.94</v>
      </c>
      <c r="G18">
        <v>1.56</v>
      </c>
      <c r="H18" s="12"/>
    </row>
    <row r="19" spans="1:8" x14ac:dyDescent="0.3">
      <c r="A19" t="s">
        <v>7</v>
      </c>
      <c r="B19" t="s">
        <v>8</v>
      </c>
      <c r="C19" t="s">
        <v>23</v>
      </c>
      <c r="D19" t="s">
        <v>24</v>
      </c>
      <c r="E19">
        <v>1</v>
      </c>
      <c r="F19">
        <v>10.07</v>
      </c>
      <c r="G19">
        <v>1.83</v>
      </c>
      <c r="H19" s="12"/>
    </row>
    <row r="20" spans="1:8" x14ac:dyDescent="0.3">
      <c r="A20" t="s">
        <v>11</v>
      </c>
      <c r="B20" t="s">
        <v>8</v>
      </c>
      <c r="C20" t="s">
        <v>21</v>
      </c>
      <c r="D20" t="s">
        <v>10</v>
      </c>
      <c r="E20">
        <v>2</v>
      </c>
      <c r="F20">
        <v>10.07</v>
      </c>
      <c r="G20">
        <v>1.25</v>
      </c>
      <c r="H20" s="12"/>
    </row>
    <row r="21" spans="1:8" x14ac:dyDescent="0.3">
      <c r="A21" t="s">
        <v>7</v>
      </c>
      <c r="B21" t="s">
        <v>22</v>
      </c>
      <c r="C21" t="s">
        <v>25</v>
      </c>
      <c r="D21" t="s">
        <v>24</v>
      </c>
      <c r="E21">
        <v>2</v>
      </c>
      <c r="F21">
        <v>10.09</v>
      </c>
      <c r="G21">
        <v>2</v>
      </c>
      <c r="H21" s="12"/>
    </row>
    <row r="22" spans="1:8" x14ac:dyDescent="0.3">
      <c r="A22" t="s">
        <v>11</v>
      </c>
      <c r="B22" t="s">
        <v>8</v>
      </c>
      <c r="C22" t="s">
        <v>9</v>
      </c>
      <c r="D22" t="s">
        <v>10</v>
      </c>
      <c r="E22">
        <v>2</v>
      </c>
      <c r="F22">
        <v>10.27</v>
      </c>
      <c r="G22">
        <v>1.71</v>
      </c>
      <c r="H22" s="12"/>
    </row>
    <row r="23" spans="1:8" x14ac:dyDescent="0.3">
      <c r="A23" t="s">
        <v>7</v>
      </c>
      <c r="B23" t="s">
        <v>8</v>
      </c>
      <c r="C23" t="s">
        <v>9</v>
      </c>
      <c r="D23" t="s">
        <v>10</v>
      </c>
      <c r="E23">
        <v>2</v>
      </c>
      <c r="F23">
        <v>10.29</v>
      </c>
      <c r="G23">
        <v>2.6</v>
      </c>
      <c r="H23" s="12"/>
    </row>
    <row r="24" spans="1:8" x14ac:dyDescent="0.3">
      <c r="A24" t="s">
        <v>7</v>
      </c>
      <c r="B24" t="s">
        <v>8</v>
      </c>
      <c r="C24" t="s">
        <v>9</v>
      </c>
      <c r="D24" t="s">
        <v>10</v>
      </c>
      <c r="E24">
        <v>3</v>
      </c>
      <c r="F24">
        <v>10.33</v>
      </c>
      <c r="G24">
        <v>1.67</v>
      </c>
      <c r="H24" s="12"/>
    </row>
    <row r="25" spans="1:8" x14ac:dyDescent="0.3">
      <c r="A25" t="s">
        <v>7</v>
      </c>
      <c r="B25" t="s">
        <v>8</v>
      </c>
      <c r="C25" t="s">
        <v>23</v>
      </c>
      <c r="D25" t="s">
        <v>24</v>
      </c>
      <c r="E25">
        <v>2</v>
      </c>
      <c r="F25">
        <v>10.33</v>
      </c>
      <c r="G25">
        <v>2</v>
      </c>
      <c r="H25" s="12"/>
    </row>
    <row r="26" spans="1:8" x14ac:dyDescent="0.3">
      <c r="A26" t="s">
        <v>11</v>
      </c>
      <c r="B26" t="s">
        <v>8</v>
      </c>
      <c r="C26" t="s">
        <v>9</v>
      </c>
      <c r="D26" t="s">
        <v>10</v>
      </c>
      <c r="E26">
        <v>3</v>
      </c>
      <c r="F26">
        <v>10.34</v>
      </c>
      <c r="G26">
        <v>1.66</v>
      </c>
      <c r="H26" s="12"/>
    </row>
    <row r="27" spans="1:8" x14ac:dyDescent="0.3">
      <c r="A27" t="s">
        <v>11</v>
      </c>
      <c r="B27" t="s">
        <v>22</v>
      </c>
      <c r="C27" t="s">
        <v>23</v>
      </c>
      <c r="D27" t="s">
        <v>24</v>
      </c>
      <c r="E27">
        <v>2</v>
      </c>
      <c r="F27">
        <v>10.34</v>
      </c>
      <c r="G27">
        <v>2</v>
      </c>
      <c r="H27" s="12"/>
    </row>
    <row r="28" spans="1:8" x14ac:dyDescent="0.3">
      <c r="A28" t="s">
        <v>11</v>
      </c>
      <c r="B28" t="s">
        <v>8</v>
      </c>
      <c r="C28" t="s">
        <v>21</v>
      </c>
      <c r="D28" t="s">
        <v>10</v>
      </c>
      <c r="E28">
        <v>2</v>
      </c>
      <c r="F28">
        <v>10.51</v>
      </c>
      <c r="G28">
        <v>1.25</v>
      </c>
      <c r="H28" s="12"/>
    </row>
    <row r="29" spans="1:8" x14ac:dyDescent="0.3">
      <c r="A29" t="s">
        <v>7</v>
      </c>
      <c r="B29" t="s">
        <v>22</v>
      </c>
      <c r="C29" t="s">
        <v>21</v>
      </c>
      <c r="D29" t="s">
        <v>10</v>
      </c>
      <c r="E29">
        <v>2</v>
      </c>
      <c r="F29">
        <v>10.59</v>
      </c>
      <c r="G29">
        <v>1.61</v>
      </c>
      <c r="H29" s="12"/>
    </row>
    <row r="30" spans="1:8" x14ac:dyDescent="0.3">
      <c r="A30" t="s">
        <v>7</v>
      </c>
      <c r="B30" t="s">
        <v>22</v>
      </c>
      <c r="C30" t="s">
        <v>21</v>
      </c>
      <c r="D30" t="s">
        <v>10</v>
      </c>
      <c r="E30">
        <v>2</v>
      </c>
      <c r="F30">
        <v>10.63</v>
      </c>
      <c r="G30">
        <v>2</v>
      </c>
      <c r="H30" s="12"/>
    </row>
    <row r="31" spans="1:8" x14ac:dyDescent="0.3">
      <c r="A31" t="s">
        <v>7</v>
      </c>
      <c r="B31" t="s">
        <v>8</v>
      </c>
      <c r="C31" t="s">
        <v>23</v>
      </c>
      <c r="D31" t="s">
        <v>24</v>
      </c>
      <c r="E31">
        <v>2</v>
      </c>
      <c r="F31">
        <v>10.65</v>
      </c>
      <c r="G31">
        <v>1.5</v>
      </c>
      <c r="H31" s="12"/>
    </row>
    <row r="32" spans="1:8" x14ac:dyDescent="0.3">
      <c r="A32" t="s">
        <v>11</v>
      </c>
      <c r="B32" t="s">
        <v>8</v>
      </c>
      <c r="C32" t="s">
        <v>21</v>
      </c>
      <c r="D32" t="s">
        <v>10</v>
      </c>
      <c r="E32">
        <v>2</v>
      </c>
      <c r="F32">
        <v>10.77</v>
      </c>
      <c r="G32">
        <v>1.47</v>
      </c>
      <c r="H32" s="12"/>
    </row>
    <row r="33" spans="1:8" x14ac:dyDescent="0.3">
      <c r="A33" t="s">
        <v>11</v>
      </c>
      <c r="B33" t="s">
        <v>22</v>
      </c>
      <c r="C33" t="s">
        <v>21</v>
      </c>
      <c r="D33" t="s">
        <v>10</v>
      </c>
      <c r="E33">
        <v>2</v>
      </c>
      <c r="F33">
        <v>11.02</v>
      </c>
      <c r="G33">
        <v>1.98</v>
      </c>
      <c r="H33" s="12"/>
    </row>
    <row r="34" spans="1:8" x14ac:dyDescent="0.3">
      <c r="A34" t="s">
        <v>7</v>
      </c>
      <c r="B34" t="s">
        <v>8</v>
      </c>
      <c r="C34" t="s">
        <v>23</v>
      </c>
      <c r="D34" t="s">
        <v>24</v>
      </c>
      <c r="E34">
        <v>2</v>
      </c>
      <c r="F34">
        <v>11.17</v>
      </c>
      <c r="G34">
        <v>1.5</v>
      </c>
      <c r="H34" s="12"/>
    </row>
    <row r="35" spans="1:8" x14ac:dyDescent="0.3">
      <c r="A35" t="s">
        <v>11</v>
      </c>
      <c r="B35" t="s">
        <v>22</v>
      </c>
      <c r="C35" t="s">
        <v>21</v>
      </c>
      <c r="D35" t="s">
        <v>10</v>
      </c>
      <c r="E35">
        <v>2</v>
      </c>
      <c r="F35">
        <v>11.24</v>
      </c>
      <c r="G35">
        <v>1.76</v>
      </c>
      <c r="H35" s="12"/>
    </row>
    <row r="36" spans="1:8" x14ac:dyDescent="0.3">
      <c r="A36" t="s">
        <v>7</v>
      </c>
      <c r="B36" t="s">
        <v>22</v>
      </c>
      <c r="C36" t="s">
        <v>25</v>
      </c>
      <c r="D36" t="s">
        <v>10</v>
      </c>
      <c r="E36">
        <v>2</v>
      </c>
      <c r="F36">
        <v>11.35</v>
      </c>
      <c r="G36">
        <v>2.5</v>
      </c>
      <c r="H36" s="12"/>
    </row>
    <row r="37" spans="1:8" x14ac:dyDescent="0.3">
      <c r="A37" t="s">
        <v>7</v>
      </c>
      <c r="B37" t="s">
        <v>8</v>
      </c>
      <c r="C37" t="s">
        <v>23</v>
      </c>
      <c r="D37" t="s">
        <v>24</v>
      </c>
      <c r="E37">
        <v>2</v>
      </c>
      <c r="F37">
        <v>11.38</v>
      </c>
      <c r="G37">
        <v>2</v>
      </c>
      <c r="H37" s="12"/>
    </row>
    <row r="38" spans="1:8" x14ac:dyDescent="0.3">
      <c r="A38" t="s">
        <v>11</v>
      </c>
      <c r="B38" t="s">
        <v>22</v>
      </c>
      <c r="C38" t="s">
        <v>21</v>
      </c>
      <c r="D38" t="s">
        <v>10</v>
      </c>
      <c r="E38">
        <v>2</v>
      </c>
      <c r="F38">
        <v>11.59</v>
      </c>
      <c r="G38">
        <v>1.5</v>
      </c>
      <c r="H38" s="12"/>
    </row>
    <row r="39" spans="1:8" x14ac:dyDescent="0.3">
      <c r="A39" t="s">
        <v>11</v>
      </c>
      <c r="B39" t="s">
        <v>8</v>
      </c>
      <c r="C39" t="s">
        <v>21</v>
      </c>
      <c r="D39" t="s">
        <v>10</v>
      </c>
      <c r="E39">
        <v>2</v>
      </c>
      <c r="F39">
        <v>11.61</v>
      </c>
      <c r="G39">
        <v>3.39</v>
      </c>
      <c r="H39" s="12"/>
    </row>
    <row r="40" spans="1:8" x14ac:dyDescent="0.3">
      <c r="A40" t="s">
        <v>11</v>
      </c>
      <c r="B40" t="s">
        <v>8</v>
      </c>
      <c r="C40" t="s">
        <v>23</v>
      </c>
      <c r="D40" t="s">
        <v>24</v>
      </c>
      <c r="E40">
        <v>2</v>
      </c>
      <c r="F40">
        <v>11.69</v>
      </c>
      <c r="G40">
        <v>2.31</v>
      </c>
      <c r="H40" s="12"/>
    </row>
    <row r="41" spans="1:8" x14ac:dyDescent="0.3">
      <c r="A41" t="s">
        <v>7</v>
      </c>
      <c r="B41" t="s">
        <v>8</v>
      </c>
      <c r="C41" t="s">
        <v>23</v>
      </c>
      <c r="D41" t="s">
        <v>24</v>
      </c>
      <c r="E41">
        <v>2</v>
      </c>
      <c r="F41">
        <v>11.87</v>
      </c>
      <c r="G41">
        <v>1.63</v>
      </c>
      <c r="H41" s="12"/>
    </row>
    <row r="42" spans="1:8" x14ac:dyDescent="0.3">
      <c r="A42" t="s">
        <v>11</v>
      </c>
      <c r="B42" t="s">
        <v>8</v>
      </c>
      <c r="C42" t="s">
        <v>21</v>
      </c>
      <c r="D42" t="s">
        <v>10</v>
      </c>
      <c r="E42">
        <v>2</v>
      </c>
      <c r="F42">
        <v>12.02</v>
      </c>
      <c r="G42">
        <v>1.97</v>
      </c>
      <c r="H42" s="12"/>
    </row>
    <row r="43" spans="1:8" x14ac:dyDescent="0.3">
      <c r="A43" t="s">
        <v>11</v>
      </c>
      <c r="B43" t="s">
        <v>22</v>
      </c>
      <c r="C43" t="s">
        <v>25</v>
      </c>
      <c r="D43" t="s">
        <v>10</v>
      </c>
      <c r="E43">
        <v>2</v>
      </c>
      <c r="F43">
        <v>12.03</v>
      </c>
      <c r="G43">
        <v>1.5</v>
      </c>
      <c r="H43" s="12"/>
    </row>
    <row r="44" spans="1:8" x14ac:dyDescent="0.3">
      <c r="A44" t="s">
        <v>11</v>
      </c>
      <c r="B44" t="s">
        <v>22</v>
      </c>
      <c r="C44" t="s">
        <v>25</v>
      </c>
      <c r="D44" t="s">
        <v>24</v>
      </c>
      <c r="E44">
        <v>2</v>
      </c>
      <c r="F44">
        <v>12.16</v>
      </c>
      <c r="G44">
        <v>2.2000000000000002</v>
      </c>
      <c r="H44" s="12"/>
    </row>
    <row r="45" spans="1:8" x14ac:dyDescent="0.3">
      <c r="A45" t="s">
        <v>7</v>
      </c>
      <c r="B45" t="s">
        <v>8</v>
      </c>
      <c r="C45" t="s">
        <v>23</v>
      </c>
      <c r="D45" t="s">
        <v>24</v>
      </c>
      <c r="E45">
        <v>2</v>
      </c>
      <c r="F45">
        <v>12.26</v>
      </c>
      <c r="G45">
        <v>2</v>
      </c>
      <c r="H45" s="12"/>
    </row>
    <row r="46" spans="1:8" x14ac:dyDescent="0.3">
      <c r="A46" t="s">
        <v>7</v>
      </c>
      <c r="B46" t="s">
        <v>8</v>
      </c>
      <c r="C46" t="s">
        <v>23</v>
      </c>
      <c r="D46" t="s">
        <v>24</v>
      </c>
      <c r="E46">
        <v>2</v>
      </c>
      <c r="F46">
        <v>12.43</v>
      </c>
      <c r="G46">
        <v>1.8</v>
      </c>
      <c r="H46" s="12"/>
    </row>
    <row r="47" spans="1:8" x14ac:dyDescent="0.3">
      <c r="A47" t="s">
        <v>11</v>
      </c>
      <c r="B47" t="s">
        <v>8</v>
      </c>
      <c r="C47" t="s">
        <v>25</v>
      </c>
      <c r="D47" t="s">
        <v>10</v>
      </c>
      <c r="E47">
        <v>2</v>
      </c>
      <c r="F47">
        <v>12.46</v>
      </c>
      <c r="G47">
        <v>1.5</v>
      </c>
      <c r="H47" s="12"/>
    </row>
    <row r="48" spans="1:8" x14ac:dyDescent="0.3">
      <c r="A48" t="s">
        <v>7</v>
      </c>
      <c r="B48" t="s">
        <v>8</v>
      </c>
      <c r="C48" t="s">
        <v>23</v>
      </c>
      <c r="D48" t="s">
        <v>24</v>
      </c>
      <c r="E48">
        <v>2</v>
      </c>
      <c r="F48">
        <v>12.48</v>
      </c>
      <c r="G48">
        <v>2.52</v>
      </c>
      <c r="H48" s="12"/>
    </row>
    <row r="49" spans="1:8" x14ac:dyDescent="0.3">
      <c r="A49" t="s">
        <v>11</v>
      </c>
      <c r="B49" t="s">
        <v>8</v>
      </c>
      <c r="C49" t="s">
        <v>9</v>
      </c>
      <c r="D49" t="s">
        <v>10</v>
      </c>
      <c r="E49">
        <v>2</v>
      </c>
      <c r="F49">
        <v>12.54</v>
      </c>
      <c r="G49">
        <v>2.5</v>
      </c>
      <c r="H49" s="12"/>
    </row>
    <row r="50" spans="1:8" x14ac:dyDescent="0.3">
      <c r="A50" t="s">
        <v>11</v>
      </c>
      <c r="B50" t="s">
        <v>22</v>
      </c>
      <c r="C50" t="s">
        <v>21</v>
      </c>
      <c r="D50" t="s">
        <v>10</v>
      </c>
      <c r="E50">
        <v>2</v>
      </c>
      <c r="F50">
        <v>12.6</v>
      </c>
      <c r="G50">
        <v>1</v>
      </c>
      <c r="H50" s="12"/>
    </row>
    <row r="51" spans="1:8" x14ac:dyDescent="0.3">
      <c r="A51" t="s">
        <v>11</v>
      </c>
      <c r="B51" t="s">
        <v>8</v>
      </c>
      <c r="C51" t="s">
        <v>9</v>
      </c>
      <c r="D51" t="s">
        <v>10</v>
      </c>
      <c r="E51">
        <v>2</v>
      </c>
      <c r="F51">
        <v>12.66</v>
      </c>
      <c r="G51">
        <v>2.5</v>
      </c>
      <c r="H51" s="12"/>
    </row>
    <row r="52" spans="1:8" x14ac:dyDescent="0.3">
      <c r="A52" t="s">
        <v>11</v>
      </c>
      <c r="B52" t="s">
        <v>8</v>
      </c>
      <c r="C52" t="s">
        <v>21</v>
      </c>
      <c r="D52" t="s">
        <v>10</v>
      </c>
      <c r="E52">
        <v>2</v>
      </c>
      <c r="F52">
        <v>12.69</v>
      </c>
      <c r="G52">
        <v>2</v>
      </c>
      <c r="H52" s="12"/>
    </row>
    <row r="53" spans="1:8" x14ac:dyDescent="0.3">
      <c r="A53" t="s">
        <v>7</v>
      </c>
      <c r="B53" t="s">
        <v>22</v>
      </c>
      <c r="C53" t="s">
        <v>23</v>
      </c>
      <c r="D53" t="s">
        <v>24</v>
      </c>
      <c r="E53">
        <v>2</v>
      </c>
      <c r="F53">
        <v>12.74</v>
      </c>
      <c r="G53">
        <v>2.0099999999999998</v>
      </c>
      <c r="H53" s="12"/>
    </row>
    <row r="54" spans="1:8" x14ac:dyDescent="0.3">
      <c r="A54" t="s">
        <v>7</v>
      </c>
      <c r="B54" t="s">
        <v>22</v>
      </c>
      <c r="C54" t="s">
        <v>21</v>
      </c>
      <c r="D54" t="s">
        <v>10</v>
      </c>
      <c r="E54">
        <v>2</v>
      </c>
      <c r="F54">
        <v>12.76</v>
      </c>
      <c r="G54">
        <v>2.23</v>
      </c>
      <c r="H54" s="12"/>
    </row>
    <row r="55" spans="1:8" x14ac:dyDescent="0.3">
      <c r="A55" t="s">
        <v>7</v>
      </c>
      <c r="B55" t="s">
        <v>22</v>
      </c>
      <c r="C55" t="s">
        <v>21</v>
      </c>
      <c r="D55" t="s">
        <v>10</v>
      </c>
      <c r="E55">
        <v>2</v>
      </c>
      <c r="F55">
        <v>12.9</v>
      </c>
      <c r="G55">
        <v>1.1000000000000001</v>
      </c>
      <c r="H55" s="12"/>
    </row>
    <row r="56" spans="1:8" x14ac:dyDescent="0.3">
      <c r="A56" t="s">
        <v>7</v>
      </c>
      <c r="B56" t="s">
        <v>22</v>
      </c>
      <c r="C56" t="s">
        <v>23</v>
      </c>
      <c r="D56" t="s">
        <v>24</v>
      </c>
      <c r="E56">
        <v>2</v>
      </c>
      <c r="F56">
        <v>13</v>
      </c>
      <c r="G56">
        <v>2</v>
      </c>
      <c r="H56" s="12"/>
    </row>
    <row r="57" spans="1:8" x14ac:dyDescent="0.3">
      <c r="A57" t="s">
        <v>11</v>
      </c>
      <c r="B57" t="s">
        <v>8</v>
      </c>
      <c r="C57" t="s">
        <v>23</v>
      </c>
      <c r="D57" t="s">
        <v>24</v>
      </c>
      <c r="E57">
        <v>2</v>
      </c>
      <c r="F57">
        <v>13.03</v>
      </c>
      <c r="G57">
        <v>2</v>
      </c>
      <c r="H57" s="12"/>
    </row>
    <row r="58" spans="1:8" x14ac:dyDescent="0.3">
      <c r="A58" t="s">
        <v>11</v>
      </c>
      <c r="B58" t="s">
        <v>8</v>
      </c>
      <c r="C58" t="s">
        <v>9</v>
      </c>
      <c r="D58" t="s">
        <v>10</v>
      </c>
      <c r="E58">
        <v>2</v>
      </c>
      <c r="F58">
        <v>13.13</v>
      </c>
      <c r="G58">
        <v>2</v>
      </c>
      <c r="H58" s="12"/>
    </row>
    <row r="59" spans="1:8" x14ac:dyDescent="0.3">
      <c r="A59" t="s">
        <v>7</v>
      </c>
      <c r="B59" t="s">
        <v>8</v>
      </c>
      <c r="C59" t="s">
        <v>23</v>
      </c>
      <c r="D59" t="s">
        <v>24</v>
      </c>
      <c r="E59">
        <v>2</v>
      </c>
      <c r="F59">
        <v>13.16</v>
      </c>
      <c r="G59">
        <v>2.75</v>
      </c>
      <c r="H59" s="12"/>
    </row>
    <row r="60" spans="1:8" x14ac:dyDescent="0.3">
      <c r="A60" t="s">
        <v>7</v>
      </c>
      <c r="B60" t="s">
        <v>22</v>
      </c>
      <c r="C60" t="s">
        <v>21</v>
      </c>
      <c r="D60" t="s">
        <v>10</v>
      </c>
      <c r="E60">
        <v>2</v>
      </c>
      <c r="F60">
        <v>13.27</v>
      </c>
      <c r="G60">
        <v>2.5</v>
      </c>
      <c r="H60" s="12"/>
    </row>
    <row r="61" spans="1:8" x14ac:dyDescent="0.3">
      <c r="A61" t="s">
        <v>11</v>
      </c>
      <c r="B61" t="s">
        <v>8</v>
      </c>
      <c r="C61" t="s">
        <v>21</v>
      </c>
      <c r="D61" t="s">
        <v>10</v>
      </c>
      <c r="E61">
        <v>2</v>
      </c>
      <c r="F61">
        <v>13.28</v>
      </c>
      <c r="G61">
        <v>2.72</v>
      </c>
      <c r="H61" s="12"/>
    </row>
    <row r="62" spans="1:8" x14ac:dyDescent="0.3">
      <c r="A62" t="s">
        <v>11</v>
      </c>
      <c r="B62" t="s">
        <v>8</v>
      </c>
      <c r="C62" t="s">
        <v>21</v>
      </c>
      <c r="D62" t="s">
        <v>10</v>
      </c>
      <c r="E62">
        <v>2</v>
      </c>
      <c r="F62">
        <v>13.37</v>
      </c>
      <c r="G62">
        <v>2</v>
      </c>
      <c r="H62" s="12"/>
    </row>
    <row r="63" spans="1:8" x14ac:dyDescent="0.3">
      <c r="A63" t="s">
        <v>7</v>
      </c>
      <c r="B63" t="s">
        <v>8</v>
      </c>
      <c r="C63" t="s">
        <v>9</v>
      </c>
      <c r="D63" t="s">
        <v>10</v>
      </c>
      <c r="E63">
        <v>2</v>
      </c>
      <c r="F63">
        <v>13.39</v>
      </c>
      <c r="G63">
        <v>2.61</v>
      </c>
      <c r="H63" s="12"/>
    </row>
    <row r="64" spans="1:8" x14ac:dyDescent="0.3">
      <c r="A64" t="s">
        <v>7</v>
      </c>
      <c r="B64" t="s">
        <v>8</v>
      </c>
      <c r="C64" t="s">
        <v>23</v>
      </c>
      <c r="D64" t="s">
        <v>24</v>
      </c>
      <c r="E64">
        <v>2</v>
      </c>
      <c r="F64">
        <v>13.42</v>
      </c>
      <c r="G64">
        <v>1.68</v>
      </c>
      <c r="H64" s="12"/>
    </row>
    <row r="65" spans="1:8" x14ac:dyDescent="0.3">
      <c r="A65" t="s">
        <v>7</v>
      </c>
      <c r="B65" t="s">
        <v>22</v>
      </c>
      <c r="C65" t="s">
        <v>25</v>
      </c>
      <c r="D65" t="s">
        <v>24</v>
      </c>
      <c r="E65">
        <v>2</v>
      </c>
      <c r="F65">
        <v>13.42</v>
      </c>
      <c r="G65">
        <v>3.48</v>
      </c>
      <c r="H65" s="12"/>
    </row>
    <row r="66" spans="1:8" x14ac:dyDescent="0.3">
      <c r="A66" t="s">
        <v>11</v>
      </c>
      <c r="B66" t="s">
        <v>22</v>
      </c>
      <c r="C66" t="s">
        <v>25</v>
      </c>
      <c r="D66" t="s">
        <v>24</v>
      </c>
      <c r="E66">
        <v>2</v>
      </c>
      <c r="F66">
        <v>13.42</v>
      </c>
      <c r="G66">
        <v>1.58</v>
      </c>
      <c r="H66" s="12"/>
    </row>
    <row r="67" spans="1:8" x14ac:dyDescent="0.3">
      <c r="A67" t="s">
        <v>11</v>
      </c>
      <c r="B67" t="s">
        <v>22</v>
      </c>
      <c r="C67" t="s">
        <v>23</v>
      </c>
      <c r="D67" t="s">
        <v>24</v>
      </c>
      <c r="E67">
        <v>2</v>
      </c>
      <c r="F67">
        <v>13.51</v>
      </c>
      <c r="G67">
        <v>2</v>
      </c>
      <c r="H67" s="12"/>
    </row>
    <row r="68" spans="1:8" x14ac:dyDescent="0.3">
      <c r="A68" t="s">
        <v>11</v>
      </c>
      <c r="B68" t="s">
        <v>22</v>
      </c>
      <c r="C68" t="s">
        <v>21</v>
      </c>
      <c r="D68" t="s">
        <v>10</v>
      </c>
      <c r="E68">
        <v>2</v>
      </c>
      <c r="F68">
        <v>13.81</v>
      </c>
      <c r="G68">
        <v>2</v>
      </c>
      <c r="H68" s="12"/>
    </row>
    <row r="69" spans="1:8" x14ac:dyDescent="0.3">
      <c r="A69" t="s">
        <v>11</v>
      </c>
      <c r="B69" t="s">
        <v>8</v>
      </c>
      <c r="C69" t="s">
        <v>9</v>
      </c>
      <c r="D69" t="s">
        <v>10</v>
      </c>
      <c r="E69">
        <v>2</v>
      </c>
      <c r="F69">
        <v>13.81</v>
      </c>
      <c r="G69">
        <v>2</v>
      </c>
      <c r="H69" s="12"/>
    </row>
    <row r="70" spans="1:8" x14ac:dyDescent="0.3">
      <c r="A70" t="s">
        <v>11</v>
      </c>
      <c r="B70" t="s">
        <v>8</v>
      </c>
      <c r="C70" t="s">
        <v>9</v>
      </c>
      <c r="D70" t="s">
        <v>10</v>
      </c>
      <c r="E70">
        <v>2</v>
      </c>
      <c r="F70">
        <v>13.94</v>
      </c>
      <c r="G70">
        <v>3.06</v>
      </c>
      <c r="H70" s="12"/>
    </row>
    <row r="71" spans="1:8" x14ac:dyDescent="0.3">
      <c r="A71" t="s">
        <v>11</v>
      </c>
      <c r="B71" t="s">
        <v>8</v>
      </c>
      <c r="C71" t="s">
        <v>21</v>
      </c>
      <c r="D71" t="s">
        <v>10</v>
      </c>
      <c r="E71">
        <v>2</v>
      </c>
      <c r="F71">
        <v>14</v>
      </c>
      <c r="G71">
        <v>3</v>
      </c>
      <c r="H71" s="12"/>
    </row>
    <row r="72" spans="1:8" x14ac:dyDescent="0.3">
      <c r="A72" t="s">
        <v>11</v>
      </c>
      <c r="B72" t="s">
        <v>8</v>
      </c>
      <c r="C72" t="s">
        <v>9</v>
      </c>
      <c r="D72" t="s">
        <v>10</v>
      </c>
      <c r="E72">
        <v>2</v>
      </c>
      <c r="F72">
        <v>14.07</v>
      </c>
      <c r="G72">
        <v>2.5</v>
      </c>
      <c r="H72" s="12"/>
    </row>
    <row r="73" spans="1:8" x14ac:dyDescent="0.3">
      <c r="A73" t="s">
        <v>7</v>
      </c>
      <c r="B73" t="s">
        <v>8</v>
      </c>
      <c r="C73" t="s">
        <v>23</v>
      </c>
      <c r="D73" t="s">
        <v>24</v>
      </c>
      <c r="E73">
        <v>2</v>
      </c>
      <c r="F73">
        <v>14.15</v>
      </c>
      <c r="G73">
        <v>2</v>
      </c>
      <c r="H73" s="12"/>
    </row>
    <row r="74" spans="1:8" x14ac:dyDescent="0.3">
      <c r="A74" t="s">
        <v>11</v>
      </c>
      <c r="B74" t="s">
        <v>8</v>
      </c>
      <c r="C74" t="s">
        <v>23</v>
      </c>
      <c r="D74" t="s">
        <v>24</v>
      </c>
      <c r="E74">
        <v>2</v>
      </c>
      <c r="F74">
        <v>14.26</v>
      </c>
      <c r="G74">
        <v>2.5</v>
      </c>
      <c r="H74" s="12"/>
    </row>
    <row r="75" spans="1:8" x14ac:dyDescent="0.3">
      <c r="A75" t="s">
        <v>7</v>
      </c>
      <c r="B75" t="s">
        <v>22</v>
      </c>
      <c r="C75" t="s">
        <v>21</v>
      </c>
      <c r="D75" t="s">
        <v>10</v>
      </c>
      <c r="E75">
        <v>2</v>
      </c>
      <c r="F75">
        <v>14.31</v>
      </c>
      <c r="G75">
        <v>4</v>
      </c>
      <c r="H75" s="12"/>
    </row>
    <row r="76" spans="1:8" x14ac:dyDescent="0.3">
      <c r="A76" t="s">
        <v>11</v>
      </c>
      <c r="B76" t="s">
        <v>22</v>
      </c>
      <c r="C76" t="s">
        <v>9</v>
      </c>
      <c r="D76" t="s">
        <v>10</v>
      </c>
      <c r="E76">
        <v>2</v>
      </c>
      <c r="F76">
        <v>14.48</v>
      </c>
      <c r="G76">
        <v>2</v>
      </c>
      <c r="H76" s="12"/>
    </row>
    <row r="77" spans="1:8" x14ac:dyDescent="0.3">
      <c r="A77" t="s">
        <v>7</v>
      </c>
      <c r="B77" t="s">
        <v>8</v>
      </c>
      <c r="C77" t="s">
        <v>23</v>
      </c>
      <c r="D77" t="s">
        <v>24</v>
      </c>
      <c r="E77">
        <v>2</v>
      </c>
      <c r="F77">
        <v>14.52</v>
      </c>
      <c r="G77">
        <v>2</v>
      </c>
      <c r="H77" s="12"/>
    </row>
    <row r="78" spans="1:8" x14ac:dyDescent="0.3">
      <c r="A78" t="s">
        <v>7</v>
      </c>
      <c r="B78" t="s">
        <v>8</v>
      </c>
      <c r="C78" t="s">
        <v>21</v>
      </c>
      <c r="D78" t="s">
        <v>10</v>
      </c>
      <c r="E78">
        <v>2</v>
      </c>
      <c r="F78">
        <v>14.73</v>
      </c>
      <c r="G78">
        <v>2.2000000000000002</v>
      </c>
      <c r="H78" s="12"/>
    </row>
    <row r="79" spans="1:8" x14ac:dyDescent="0.3">
      <c r="A79" t="s">
        <v>11</v>
      </c>
      <c r="B79" t="s">
        <v>8</v>
      </c>
      <c r="C79" t="s">
        <v>9</v>
      </c>
      <c r="D79" t="s">
        <v>10</v>
      </c>
      <c r="E79">
        <v>2</v>
      </c>
      <c r="F79">
        <v>14.78</v>
      </c>
      <c r="G79">
        <v>3.23</v>
      </c>
      <c r="H79" s="12"/>
    </row>
    <row r="80" spans="1:8" x14ac:dyDescent="0.3">
      <c r="A80" t="s">
        <v>7</v>
      </c>
      <c r="B80" t="s">
        <v>8</v>
      </c>
      <c r="C80" t="s">
        <v>9</v>
      </c>
      <c r="D80" t="s">
        <v>10</v>
      </c>
      <c r="E80">
        <v>2</v>
      </c>
      <c r="F80">
        <v>14.83</v>
      </c>
      <c r="G80">
        <v>3.02</v>
      </c>
      <c r="H80" s="12"/>
    </row>
    <row r="81" spans="1:8" x14ac:dyDescent="0.3">
      <c r="A81" t="s">
        <v>11</v>
      </c>
      <c r="B81" t="s">
        <v>22</v>
      </c>
      <c r="C81" t="s">
        <v>21</v>
      </c>
      <c r="D81" t="s">
        <v>10</v>
      </c>
      <c r="E81">
        <v>2</v>
      </c>
      <c r="F81">
        <v>15.01</v>
      </c>
      <c r="G81">
        <v>2.09</v>
      </c>
      <c r="H81" s="12"/>
    </row>
    <row r="82" spans="1:8" x14ac:dyDescent="0.3">
      <c r="A82" t="s">
        <v>11</v>
      </c>
      <c r="B82" t="s">
        <v>8</v>
      </c>
      <c r="C82" t="s">
        <v>9</v>
      </c>
      <c r="D82" t="s">
        <v>10</v>
      </c>
      <c r="E82">
        <v>2</v>
      </c>
      <c r="F82">
        <v>15.04</v>
      </c>
      <c r="G82">
        <v>1.96</v>
      </c>
      <c r="H82" s="12"/>
    </row>
    <row r="83" spans="1:8" x14ac:dyDescent="0.3">
      <c r="A83" t="s">
        <v>7</v>
      </c>
      <c r="B83" t="s">
        <v>8</v>
      </c>
      <c r="C83" t="s">
        <v>21</v>
      </c>
      <c r="D83" t="s">
        <v>10</v>
      </c>
      <c r="E83">
        <v>2</v>
      </c>
      <c r="F83">
        <v>15.06</v>
      </c>
      <c r="G83">
        <v>3</v>
      </c>
      <c r="H83" s="12"/>
    </row>
    <row r="84" spans="1:8" x14ac:dyDescent="0.3">
      <c r="A84" t="s">
        <v>11</v>
      </c>
      <c r="B84" t="s">
        <v>22</v>
      </c>
      <c r="C84" t="s">
        <v>21</v>
      </c>
      <c r="D84" t="s">
        <v>10</v>
      </c>
      <c r="E84">
        <v>2</v>
      </c>
      <c r="F84">
        <v>15.36</v>
      </c>
      <c r="G84">
        <v>1.64</v>
      </c>
      <c r="H84" s="12"/>
    </row>
    <row r="85" spans="1:8" x14ac:dyDescent="0.3">
      <c r="A85" t="s">
        <v>7</v>
      </c>
      <c r="B85" t="s">
        <v>22</v>
      </c>
      <c r="C85" t="s">
        <v>25</v>
      </c>
      <c r="D85" t="s">
        <v>10</v>
      </c>
      <c r="E85">
        <v>2</v>
      </c>
      <c r="F85">
        <v>15.38</v>
      </c>
      <c r="G85">
        <v>3</v>
      </c>
      <c r="H85" s="12"/>
    </row>
    <row r="86" spans="1:8" x14ac:dyDescent="0.3">
      <c r="A86" t="s">
        <v>11</v>
      </c>
      <c r="B86" t="s">
        <v>8</v>
      </c>
      <c r="C86" t="s">
        <v>9</v>
      </c>
      <c r="D86" t="s">
        <v>10</v>
      </c>
      <c r="E86">
        <v>2</v>
      </c>
      <c r="F86">
        <v>15.42</v>
      </c>
      <c r="G86">
        <v>1.57</v>
      </c>
      <c r="H86" s="12"/>
    </row>
    <row r="87" spans="1:8" x14ac:dyDescent="0.3">
      <c r="A87" t="s">
        <v>11</v>
      </c>
      <c r="B87" t="s">
        <v>22</v>
      </c>
      <c r="C87" t="s">
        <v>23</v>
      </c>
      <c r="D87" t="s">
        <v>24</v>
      </c>
      <c r="E87">
        <v>2</v>
      </c>
      <c r="F87">
        <v>15.48</v>
      </c>
      <c r="G87">
        <v>2.02</v>
      </c>
      <c r="H87" s="12"/>
    </row>
    <row r="88" spans="1:8" x14ac:dyDescent="0.3">
      <c r="A88" t="s">
        <v>11</v>
      </c>
      <c r="B88" t="s">
        <v>22</v>
      </c>
      <c r="C88" t="s">
        <v>21</v>
      </c>
      <c r="D88" t="s">
        <v>10</v>
      </c>
      <c r="E88">
        <v>2</v>
      </c>
      <c r="F88">
        <v>15.53</v>
      </c>
      <c r="G88">
        <v>3</v>
      </c>
      <c r="H88" s="12"/>
    </row>
    <row r="89" spans="1:8" x14ac:dyDescent="0.3">
      <c r="A89" t="s">
        <v>11</v>
      </c>
      <c r="B89" t="s">
        <v>22</v>
      </c>
      <c r="C89" t="s">
        <v>9</v>
      </c>
      <c r="D89" t="s">
        <v>10</v>
      </c>
      <c r="E89">
        <v>2</v>
      </c>
      <c r="F89">
        <v>15.69</v>
      </c>
      <c r="G89">
        <v>1.5</v>
      </c>
      <c r="H89" s="12"/>
    </row>
    <row r="90" spans="1:8" x14ac:dyDescent="0.3">
      <c r="A90" t="s">
        <v>11</v>
      </c>
      <c r="B90" t="s">
        <v>22</v>
      </c>
      <c r="C90" t="s">
        <v>21</v>
      </c>
      <c r="D90" t="s">
        <v>10</v>
      </c>
      <c r="E90">
        <v>3</v>
      </c>
      <c r="F90">
        <v>15.69</v>
      </c>
      <c r="G90">
        <v>3</v>
      </c>
      <c r="H90" s="12"/>
    </row>
    <row r="91" spans="1:8" x14ac:dyDescent="0.3">
      <c r="A91" t="s">
        <v>7</v>
      </c>
      <c r="B91" t="s">
        <v>8</v>
      </c>
      <c r="C91" t="s">
        <v>21</v>
      </c>
      <c r="D91" t="s">
        <v>10</v>
      </c>
      <c r="E91">
        <v>2</v>
      </c>
      <c r="F91">
        <v>15.77</v>
      </c>
      <c r="G91">
        <v>2.23</v>
      </c>
      <c r="H91" s="12"/>
    </row>
    <row r="92" spans="1:8" x14ac:dyDescent="0.3">
      <c r="A92" t="s">
        <v>11</v>
      </c>
      <c r="B92" t="s">
        <v>22</v>
      </c>
      <c r="C92" t="s">
        <v>21</v>
      </c>
      <c r="D92" t="s">
        <v>10</v>
      </c>
      <c r="E92">
        <v>2</v>
      </c>
      <c r="F92">
        <v>15.81</v>
      </c>
      <c r="G92">
        <v>3.16</v>
      </c>
      <c r="H92" s="12"/>
    </row>
    <row r="93" spans="1:8" x14ac:dyDescent="0.3">
      <c r="A93" t="s">
        <v>11</v>
      </c>
      <c r="B93" t="s">
        <v>8</v>
      </c>
      <c r="C93" t="s">
        <v>23</v>
      </c>
      <c r="D93" t="s">
        <v>24</v>
      </c>
      <c r="E93">
        <v>2</v>
      </c>
      <c r="F93">
        <v>15.95</v>
      </c>
      <c r="G93">
        <v>2</v>
      </c>
      <c r="H93" s="12"/>
    </row>
    <row r="94" spans="1:8" x14ac:dyDescent="0.3">
      <c r="A94" t="s">
        <v>11</v>
      </c>
      <c r="B94" t="s">
        <v>8</v>
      </c>
      <c r="C94" t="s">
        <v>23</v>
      </c>
      <c r="D94" t="s">
        <v>24</v>
      </c>
      <c r="E94">
        <v>2</v>
      </c>
      <c r="F94">
        <v>15.98</v>
      </c>
      <c r="G94">
        <v>2.0299999999999998</v>
      </c>
      <c r="H94" s="12"/>
    </row>
    <row r="95" spans="1:8" x14ac:dyDescent="0.3">
      <c r="A95" t="s">
        <v>7</v>
      </c>
      <c r="B95" t="s">
        <v>8</v>
      </c>
      <c r="C95" t="s">
        <v>25</v>
      </c>
      <c r="D95" t="s">
        <v>24</v>
      </c>
      <c r="E95">
        <v>3</v>
      </c>
      <c r="F95">
        <v>15.98</v>
      </c>
      <c r="G95">
        <v>3</v>
      </c>
      <c r="H95" s="12"/>
    </row>
    <row r="96" spans="1:8" x14ac:dyDescent="0.3">
      <c r="A96" t="s">
        <v>11</v>
      </c>
      <c r="B96" t="s">
        <v>22</v>
      </c>
      <c r="C96" t="s">
        <v>23</v>
      </c>
      <c r="D96" t="s">
        <v>24</v>
      </c>
      <c r="E96">
        <v>2</v>
      </c>
      <c r="F96">
        <v>16</v>
      </c>
      <c r="G96">
        <v>2</v>
      </c>
      <c r="H96" s="12"/>
    </row>
    <row r="97" spans="1:8" x14ac:dyDescent="0.3">
      <c r="A97" t="s">
        <v>11</v>
      </c>
      <c r="B97" t="s">
        <v>8</v>
      </c>
      <c r="C97" t="s">
        <v>21</v>
      </c>
      <c r="D97" t="s">
        <v>10</v>
      </c>
      <c r="E97">
        <v>3</v>
      </c>
      <c r="F97">
        <v>16.04</v>
      </c>
      <c r="G97">
        <v>2.2400000000000002</v>
      </c>
      <c r="H97" s="12"/>
    </row>
    <row r="98" spans="1:8" x14ac:dyDescent="0.3">
      <c r="A98" t="s">
        <v>7</v>
      </c>
      <c r="B98" t="s">
        <v>8</v>
      </c>
      <c r="C98" t="s">
        <v>9</v>
      </c>
      <c r="D98" t="s">
        <v>10</v>
      </c>
      <c r="E98">
        <v>3</v>
      </c>
      <c r="F98">
        <v>16.21</v>
      </c>
      <c r="G98">
        <v>2</v>
      </c>
      <c r="H98" s="12"/>
    </row>
    <row r="99" spans="1:8" x14ac:dyDescent="0.3">
      <c r="A99" t="s">
        <v>7</v>
      </c>
      <c r="B99" t="s">
        <v>22</v>
      </c>
      <c r="C99" t="s">
        <v>25</v>
      </c>
      <c r="D99" t="s">
        <v>24</v>
      </c>
      <c r="E99">
        <v>2</v>
      </c>
      <c r="F99">
        <v>16.27</v>
      </c>
      <c r="G99">
        <v>2.5</v>
      </c>
      <c r="H99" s="12"/>
    </row>
    <row r="100" spans="1:8" x14ac:dyDescent="0.3">
      <c r="A100" t="s">
        <v>11</v>
      </c>
      <c r="B100" t="s">
        <v>8</v>
      </c>
      <c r="C100" t="s">
        <v>9</v>
      </c>
      <c r="D100" t="s">
        <v>10</v>
      </c>
      <c r="E100">
        <v>3</v>
      </c>
      <c r="F100">
        <v>16.29</v>
      </c>
      <c r="G100">
        <v>3.71</v>
      </c>
      <c r="H100" s="12"/>
    </row>
    <row r="101" spans="1:8" x14ac:dyDescent="0.3">
      <c r="A101" t="s">
        <v>11</v>
      </c>
      <c r="B101" t="s">
        <v>8</v>
      </c>
      <c r="C101" t="s">
        <v>21</v>
      </c>
      <c r="D101" t="s">
        <v>10</v>
      </c>
      <c r="E101">
        <v>3</v>
      </c>
      <c r="F101">
        <v>16.309999999999999</v>
      </c>
      <c r="G101">
        <v>2</v>
      </c>
      <c r="H101" s="12"/>
    </row>
    <row r="102" spans="1:8" x14ac:dyDescent="0.3">
      <c r="A102" t="s">
        <v>7</v>
      </c>
      <c r="B102" t="s">
        <v>22</v>
      </c>
      <c r="C102" t="s">
        <v>25</v>
      </c>
      <c r="D102" t="s">
        <v>10</v>
      </c>
      <c r="E102">
        <v>2</v>
      </c>
      <c r="F102">
        <v>16.32</v>
      </c>
      <c r="G102">
        <v>4.3</v>
      </c>
      <c r="H102" s="12"/>
    </row>
    <row r="103" spans="1:8" x14ac:dyDescent="0.3">
      <c r="A103" t="s">
        <v>7</v>
      </c>
      <c r="B103" t="s">
        <v>22</v>
      </c>
      <c r="C103" t="s">
        <v>23</v>
      </c>
      <c r="D103" t="s">
        <v>24</v>
      </c>
      <c r="E103">
        <v>2</v>
      </c>
      <c r="F103">
        <v>16.399999999999999</v>
      </c>
      <c r="G103">
        <v>2.5</v>
      </c>
      <c r="H103" s="12"/>
    </row>
    <row r="104" spans="1:8" x14ac:dyDescent="0.3">
      <c r="A104" t="s">
        <v>7</v>
      </c>
      <c r="B104" t="s">
        <v>8</v>
      </c>
      <c r="C104" t="s">
        <v>23</v>
      </c>
      <c r="D104" t="s">
        <v>24</v>
      </c>
      <c r="E104">
        <v>2</v>
      </c>
      <c r="F104">
        <v>16.43</v>
      </c>
      <c r="G104">
        <v>2.2999999999999998</v>
      </c>
      <c r="H104" s="12"/>
    </row>
    <row r="105" spans="1:8" x14ac:dyDescent="0.3">
      <c r="A105" t="s">
        <v>7</v>
      </c>
      <c r="B105" t="s">
        <v>8</v>
      </c>
      <c r="C105" t="s">
        <v>21</v>
      </c>
      <c r="D105" t="s">
        <v>10</v>
      </c>
      <c r="E105">
        <v>2</v>
      </c>
      <c r="F105">
        <v>16.45</v>
      </c>
      <c r="G105">
        <v>2.4700000000000002</v>
      </c>
      <c r="H105" s="12"/>
    </row>
    <row r="106" spans="1:8" x14ac:dyDescent="0.3">
      <c r="A106" t="s">
        <v>7</v>
      </c>
      <c r="B106" t="s">
        <v>22</v>
      </c>
      <c r="C106" t="s">
        <v>23</v>
      </c>
      <c r="D106" t="s">
        <v>24</v>
      </c>
      <c r="E106">
        <v>3</v>
      </c>
      <c r="F106">
        <v>16.47</v>
      </c>
      <c r="G106">
        <v>3.23</v>
      </c>
      <c r="H106" s="12"/>
    </row>
    <row r="107" spans="1:8" x14ac:dyDescent="0.3">
      <c r="A107" t="s">
        <v>11</v>
      </c>
      <c r="B107" t="s">
        <v>8</v>
      </c>
      <c r="C107" t="s">
        <v>9</v>
      </c>
      <c r="D107" t="s">
        <v>10</v>
      </c>
      <c r="E107">
        <v>4</v>
      </c>
      <c r="F107">
        <v>16.489999999999998</v>
      </c>
      <c r="G107">
        <v>2</v>
      </c>
      <c r="H107" s="12"/>
    </row>
    <row r="108" spans="1:8" x14ac:dyDescent="0.3">
      <c r="A108" t="s">
        <v>11</v>
      </c>
      <c r="B108" t="s">
        <v>22</v>
      </c>
      <c r="C108" t="s">
        <v>23</v>
      </c>
      <c r="D108" t="s">
        <v>24</v>
      </c>
      <c r="E108">
        <v>2</v>
      </c>
      <c r="F108">
        <v>16.579999999999998</v>
      </c>
      <c r="G108">
        <v>4</v>
      </c>
      <c r="H108" s="12"/>
    </row>
    <row r="109" spans="1:8" x14ac:dyDescent="0.3">
      <c r="A109" t="s">
        <v>11</v>
      </c>
      <c r="B109" t="s">
        <v>8</v>
      </c>
      <c r="C109" t="s">
        <v>23</v>
      </c>
      <c r="D109" t="s">
        <v>24</v>
      </c>
      <c r="E109">
        <v>2</v>
      </c>
      <c r="F109">
        <v>16.66</v>
      </c>
      <c r="G109">
        <v>3.4</v>
      </c>
      <c r="H109" s="12"/>
    </row>
    <row r="110" spans="1:8" x14ac:dyDescent="0.3">
      <c r="A110" t="s">
        <v>11</v>
      </c>
      <c r="B110" t="s">
        <v>22</v>
      </c>
      <c r="C110" t="s">
        <v>9</v>
      </c>
      <c r="D110" t="s">
        <v>10</v>
      </c>
      <c r="E110">
        <v>2</v>
      </c>
      <c r="F110">
        <v>16.82</v>
      </c>
      <c r="G110">
        <v>4</v>
      </c>
      <c r="H110" s="12"/>
    </row>
    <row r="111" spans="1:8" x14ac:dyDescent="0.3">
      <c r="A111" t="s">
        <v>7</v>
      </c>
      <c r="B111" t="s">
        <v>8</v>
      </c>
      <c r="C111" t="s">
        <v>21</v>
      </c>
      <c r="D111" t="s">
        <v>10</v>
      </c>
      <c r="E111">
        <v>3</v>
      </c>
      <c r="F111">
        <v>16.93</v>
      </c>
      <c r="G111">
        <v>3.07</v>
      </c>
      <c r="H111" s="12"/>
    </row>
    <row r="112" spans="1:8" x14ac:dyDescent="0.3">
      <c r="A112" t="s">
        <v>7</v>
      </c>
      <c r="B112" t="s">
        <v>8</v>
      </c>
      <c r="C112" t="s">
        <v>9</v>
      </c>
      <c r="D112" t="s">
        <v>10</v>
      </c>
      <c r="E112">
        <v>3</v>
      </c>
      <c r="F112">
        <v>16.97</v>
      </c>
      <c r="G112">
        <v>3.5</v>
      </c>
      <c r="H112" s="12"/>
    </row>
    <row r="113" spans="1:8" x14ac:dyDescent="0.3">
      <c r="A113" t="s">
        <v>7</v>
      </c>
      <c r="B113" t="s">
        <v>8</v>
      </c>
      <c r="C113" t="s">
        <v>9</v>
      </c>
      <c r="D113" t="s">
        <v>10</v>
      </c>
      <c r="E113">
        <v>2</v>
      </c>
      <c r="F113">
        <v>16.989999999999998</v>
      </c>
      <c r="G113">
        <v>1.01</v>
      </c>
      <c r="H113" s="12"/>
    </row>
    <row r="114" spans="1:8" x14ac:dyDescent="0.3">
      <c r="A114" t="s">
        <v>7</v>
      </c>
      <c r="B114" t="s">
        <v>8</v>
      </c>
      <c r="C114" t="s">
        <v>21</v>
      </c>
      <c r="D114" t="s">
        <v>10</v>
      </c>
      <c r="E114">
        <v>3</v>
      </c>
      <c r="F114">
        <v>17.07</v>
      </c>
      <c r="G114">
        <v>3</v>
      </c>
      <c r="H114" s="12"/>
    </row>
    <row r="115" spans="1:8" x14ac:dyDescent="0.3">
      <c r="A115" t="s">
        <v>11</v>
      </c>
      <c r="B115" t="s">
        <v>8</v>
      </c>
      <c r="C115" t="s">
        <v>9</v>
      </c>
      <c r="D115" t="s">
        <v>10</v>
      </c>
      <c r="E115">
        <v>3</v>
      </c>
      <c r="F115">
        <v>17.260000000000002</v>
      </c>
      <c r="G115">
        <v>2.74</v>
      </c>
      <c r="H115" s="12"/>
    </row>
    <row r="116" spans="1:8" x14ac:dyDescent="0.3">
      <c r="A116" t="s">
        <v>11</v>
      </c>
      <c r="B116" t="s">
        <v>8</v>
      </c>
      <c r="C116" t="s">
        <v>23</v>
      </c>
      <c r="D116" t="s">
        <v>24</v>
      </c>
      <c r="E116">
        <v>2</v>
      </c>
      <c r="F116">
        <v>17.29</v>
      </c>
      <c r="G116">
        <v>2.71</v>
      </c>
      <c r="H116" s="12"/>
    </row>
    <row r="117" spans="1:8" x14ac:dyDescent="0.3">
      <c r="A117" t="s">
        <v>7</v>
      </c>
      <c r="B117" t="s">
        <v>8</v>
      </c>
      <c r="C117" t="s">
        <v>9</v>
      </c>
      <c r="D117" t="s">
        <v>10</v>
      </c>
      <c r="E117">
        <v>2</v>
      </c>
      <c r="F117">
        <v>17.309999999999999</v>
      </c>
      <c r="G117">
        <v>3.5</v>
      </c>
      <c r="H117" s="12"/>
    </row>
    <row r="118" spans="1:8" x14ac:dyDescent="0.3">
      <c r="A118" t="s">
        <v>11</v>
      </c>
      <c r="B118" t="s">
        <v>8</v>
      </c>
      <c r="C118" t="s">
        <v>9</v>
      </c>
      <c r="D118" t="s">
        <v>10</v>
      </c>
      <c r="E118">
        <v>2</v>
      </c>
      <c r="F118">
        <v>17.46</v>
      </c>
      <c r="G118">
        <v>2.54</v>
      </c>
      <c r="H118" s="12"/>
    </row>
    <row r="119" spans="1:8" x14ac:dyDescent="0.3">
      <c r="A119" t="s">
        <v>7</v>
      </c>
      <c r="B119" t="s">
        <v>8</v>
      </c>
      <c r="C119" t="s">
        <v>23</v>
      </c>
      <c r="D119" t="s">
        <v>24</v>
      </c>
      <c r="E119">
        <v>2</v>
      </c>
      <c r="F119">
        <v>17.47</v>
      </c>
      <c r="G119">
        <v>3.5</v>
      </c>
      <c r="H119" s="12"/>
    </row>
    <row r="120" spans="1:8" x14ac:dyDescent="0.3">
      <c r="A120" t="s">
        <v>7</v>
      </c>
      <c r="B120" t="s">
        <v>22</v>
      </c>
      <c r="C120" t="s">
        <v>9</v>
      </c>
      <c r="D120" t="s">
        <v>10</v>
      </c>
      <c r="E120">
        <v>2</v>
      </c>
      <c r="F120">
        <v>17.510000000000002</v>
      </c>
      <c r="G120">
        <v>3</v>
      </c>
      <c r="H120" s="12"/>
    </row>
    <row r="121" spans="1:8" x14ac:dyDescent="0.3">
      <c r="A121" t="s">
        <v>11</v>
      </c>
      <c r="B121" t="s">
        <v>8</v>
      </c>
      <c r="C121" t="s">
        <v>21</v>
      </c>
      <c r="D121" t="s">
        <v>10</v>
      </c>
      <c r="E121">
        <v>3</v>
      </c>
      <c r="F121">
        <v>17.59</v>
      </c>
      <c r="G121">
        <v>2.64</v>
      </c>
      <c r="H121" s="12"/>
    </row>
    <row r="122" spans="1:8" x14ac:dyDescent="0.3">
      <c r="A122" t="s">
        <v>11</v>
      </c>
      <c r="B122" t="s">
        <v>8</v>
      </c>
      <c r="C122" t="s">
        <v>21</v>
      </c>
      <c r="D122" t="s">
        <v>10</v>
      </c>
      <c r="E122">
        <v>2</v>
      </c>
      <c r="F122">
        <v>17.78</v>
      </c>
      <c r="G122">
        <v>3.27</v>
      </c>
      <c r="H122" s="12"/>
    </row>
    <row r="123" spans="1:8" x14ac:dyDescent="0.3">
      <c r="A123" t="s">
        <v>11</v>
      </c>
      <c r="B123" t="s">
        <v>8</v>
      </c>
      <c r="C123" t="s">
        <v>21</v>
      </c>
      <c r="D123" t="s">
        <v>10</v>
      </c>
      <c r="E123">
        <v>4</v>
      </c>
      <c r="F123">
        <v>17.809999999999999</v>
      </c>
      <c r="G123">
        <v>2.34</v>
      </c>
      <c r="H123" s="12"/>
    </row>
    <row r="124" spans="1:8" x14ac:dyDescent="0.3">
      <c r="A124" t="s">
        <v>11</v>
      </c>
      <c r="B124" t="s">
        <v>8</v>
      </c>
      <c r="C124" t="s">
        <v>21</v>
      </c>
      <c r="D124" t="s">
        <v>10</v>
      </c>
      <c r="E124">
        <v>2</v>
      </c>
      <c r="F124">
        <v>17.82</v>
      </c>
      <c r="G124">
        <v>1.75</v>
      </c>
      <c r="H124" s="12"/>
    </row>
    <row r="125" spans="1:8" x14ac:dyDescent="0.3">
      <c r="A125" t="s">
        <v>11</v>
      </c>
      <c r="B125" t="s">
        <v>22</v>
      </c>
      <c r="C125" t="s">
        <v>9</v>
      </c>
      <c r="D125" t="s">
        <v>10</v>
      </c>
      <c r="E125">
        <v>2</v>
      </c>
      <c r="F125">
        <v>17.89</v>
      </c>
      <c r="G125">
        <v>2</v>
      </c>
      <c r="H125" s="12"/>
    </row>
    <row r="126" spans="1:8" x14ac:dyDescent="0.3">
      <c r="A126" t="s">
        <v>11</v>
      </c>
      <c r="B126" t="s">
        <v>8</v>
      </c>
      <c r="C126" t="s">
        <v>21</v>
      </c>
      <c r="D126" t="s">
        <v>10</v>
      </c>
      <c r="E126">
        <v>2</v>
      </c>
      <c r="F126">
        <v>17.920000000000002</v>
      </c>
      <c r="G126">
        <v>4.08</v>
      </c>
      <c r="H126" s="12"/>
    </row>
    <row r="127" spans="1:8" x14ac:dyDescent="0.3">
      <c r="A127" t="s">
        <v>11</v>
      </c>
      <c r="B127" t="s">
        <v>22</v>
      </c>
      <c r="C127" t="s">
        <v>21</v>
      </c>
      <c r="D127" t="s">
        <v>10</v>
      </c>
      <c r="E127">
        <v>2</v>
      </c>
      <c r="F127">
        <v>17.920000000000002</v>
      </c>
      <c r="G127">
        <v>3.08</v>
      </c>
      <c r="H127" s="12"/>
    </row>
    <row r="128" spans="1:8" x14ac:dyDescent="0.3">
      <c r="A128" t="s">
        <v>11</v>
      </c>
      <c r="B128" t="s">
        <v>8</v>
      </c>
      <c r="C128" t="s">
        <v>9</v>
      </c>
      <c r="D128" t="s">
        <v>10</v>
      </c>
      <c r="E128">
        <v>2</v>
      </c>
      <c r="F128">
        <v>18.04</v>
      </c>
      <c r="G128">
        <v>3</v>
      </c>
      <c r="H128" s="12"/>
    </row>
    <row r="129" spans="1:8" x14ac:dyDescent="0.3">
      <c r="A129" t="s">
        <v>7</v>
      </c>
      <c r="B129" t="s">
        <v>22</v>
      </c>
      <c r="C129" t="s">
        <v>9</v>
      </c>
      <c r="D129" t="s">
        <v>10</v>
      </c>
      <c r="E129">
        <v>3</v>
      </c>
      <c r="F129">
        <v>18.149999999999999</v>
      </c>
      <c r="G129">
        <v>3.5</v>
      </c>
      <c r="H129" s="12"/>
    </row>
    <row r="130" spans="1:8" x14ac:dyDescent="0.3">
      <c r="A130" t="s">
        <v>11</v>
      </c>
      <c r="B130" t="s">
        <v>8</v>
      </c>
      <c r="C130" t="s">
        <v>21</v>
      </c>
      <c r="D130" t="s">
        <v>10</v>
      </c>
      <c r="E130">
        <v>2</v>
      </c>
      <c r="F130">
        <v>18.239999999999998</v>
      </c>
      <c r="G130">
        <v>3.76</v>
      </c>
      <c r="H130" s="12"/>
    </row>
    <row r="131" spans="1:8" x14ac:dyDescent="0.3">
      <c r="A131" t="s">
        <v>7</v>
      </c>
      <c r="B131" t="s">
        <v>8</v>
      </c>
      <c r="C131" t="s">
        <v>23</v>
      </c>
      <c r="D131" t="s">
        <v>24</v>
      </c>
      <c r="E131">
        <v>2</v>
      </c>
      <c r="F131">
        <v>18.260000000000002</v>
      </c>
      <c r="G131">
        <v>3.25</v>
      </c>
      <c r="H131" s="12"/>
    </row>
    <row r="132" spans="1:8" x14ac:dyDescent="0.3">
      <c r="A132" t="s">
        <v>11</v>
      </c>
      <c r="B132" t="s">
        <v>8</v>
      </c>
      <c r="C132" t="s">
        <v>23</v>
      </c>
      <c r="D132" t="s">
        <v>24</v>
      </c>
      <c r="E132">
        <v>2</v>
      </c>
      <c r="F132">
        <v>18.28</v>
      </c>
      <c r="G132">
        <v>4</v>
      </c>
      <c r="H132" s="12"/>
    </row>
    <row r="133" spans="1:8" x14ac:dyDescent="0.3">
      <c r="A133" t="s">
        <v>11</v>
      </c>
      <c r="B133" t="s">
        <v>8</v>
      </c>
      <c r="C133" t="s">
        <v>9</v>
      </c>
      <c r="D133" t="s">
        <v>10</v>
      </c>
      <c r="E133">
        <v>2</v>
      </c>
      <c r="F133">
        <v>18.29</v>
      </c>
      <c r="G133">
        <v>3</v>
      </c>
      <c r="H133" s="12"/>
    </row>
    <row r="134" spans="1:8" x14ac:dyDescent="0.3">
      <c r="A134" t="s">
        <v>11</v>
      </c>
      <c r="B134" t="s">
        <v>22</v>
      </c>
      <c r="C134" t="s">
        <v>21</v>
      </c>
      <c r="D134" t="s">
        <v>10</v>
      </c>
      <c r="E134">
        <v>4</v>
      </c>
      <c r="F134">
        <v>18.29</v>
      </c>
      <c r="G134">
        <v>3.76</v>
      </c>
      <c r="H134" s="12"/>
    </row>
    <row r="135" spans="1:8" x14ac:dyDescent="0.3">
      <c r="A135" t="s">
        <v>11</v>
      </c>
      <c r="B135" t="s">
        <v>8</v>
      </c>
      <c r="C135" t="s">
        <v>21</v>
      </c>
      <c r="D135" t="s">
        <v>10</v>
      </c>
      <c r="E135">
        <v>4</v>
      </c>
      <c r="F135">
        <v>18.350000000000001</v>
      </c>
      <c r="G135">
        <v>2.5</v>
      </c>
      <c r="H135" s="12"/>
    </row>
    <row r="136" spans="1:8" x14ac:dyDescent="0.3">
      <c r="A136" t="s">
        <v>11</v>
      </c>
      <c r="B136" t="s">
        <v>8</v>
      </c>
      <c r="C136" t="s">
        <v>9</v>
      </c>
      <c r="D136" t="s">
        <v>10</v>
      </c>
      <c r="E136">
        <v>4</v>
      </c>
      <c r="F136">
        <v>18.43</v>
      </c>
      <c r="G136">
        <v>3</v>
      </c>
      <c r="H136" s="12"/>
    </row>
    <row r="137" spans="1:8" x14ac:dyDescent="0.3">
      <c r="A137" t="s">
        <v>7</v>
      </c>
      <c r="B137" t="s">
        <v>8</v>
      </c>
      <c r="C137" t="s">
        <v>23</v>
      </c>
      <c r="D137" t="s">
        <v>24</v>
      </c>
      <c r="E137">
        <v>3</v>
      </c>
      <c r="F137">
        <v>18.64</v>
      </c>
      <c r="G137">
        <v>1.36</v>
      </c>
      <c r="H137" s="12"/>
    </row>
    <row r="138" spans="1:8" x14ac:dyDescent="0.3">
      <c r="A138" t="s">
        <v>11</v>
      </c>
      <c r="B138" t="s">
        <v>8</v>
      </c>
      <c r="C138" t="s">
        <v>21</v>
      </c>
      <c r="D138" t="s">
        <v>10</v>
      </c>
      <c r="E138">
        <v>3</v>
      </c>
      <c r="F138">
        <v>18.690000000000001</v>
      </c>
      <c r="G138">
        <v>2.31</v>
      </c>
      <c r="H138" s="12"/>
    </row>
    <row r="139" spans="1:8" x14ac:dyDescent="0.3">
      <c r="A139" t="s">
        <v>11</v>
      </c>
      <c r="B139" t="s">
        <v>22</v>
      </c>
      <c r="C139" t="s">
        <v>23</v>
      </c>
      <c r="D139" t="s">
        <v>24</v>
      </c>
      <c r="E139">
        <v>3</v>
      </c>
      <c r="F139">
        <v>18.71</v>
      </c>
      <c r="G139">
        <v>4</v>
      </c>
      <c r="H139" s="12"/>
    </row>
    <row r="140" spans="1:8" x14ac:dyDescent="0.3">
      <c r="A140" t="s">
        <v>7</v>
      </c>
      <c r="B140" t="s">
        <v>8</v>
      </c>
      <c r="C140" t="s">
        <v>23</v>
      </c>
      <c r="D140" t="s">
        <v>10</v>
      </c>
      <c r="E140">
        <v>2</v>
      </c>
      <c r="F140">
        <v>18.78</v>
      </c>
      <c r="G140">
        <v>3</v>
      </c>
      <c r="H140" s="12"/>
    </row>
    <row r="141" spans="1:8" x14ac:dyDescent="0.3">
      <c r="A141" t="s">
        <v>11</v>
      </c>
      <c r="B141" t="s">
        <v>8</v>
      </c>
      <c r="C141" t="s">
        <v>23</v>
      </c>
      <c r="D141" t="s">
        <v>24</v>
      </c>
      <c r="E141">
        <v>2</v>
      </c>
      <c r="F141">
        <v>19.079999999999998</v>
      </c>
      <c r="G141">
        <v>1.5</v>
      </c>
      <c r="H141" s="12"/>
    </row>
    <row r="142" spans="1:8" x14ac:dyDescent="0.3">
      <c r="A142" t="s">
        <v>11</v>
      </c>
      <c r="B142" t="s">
        <v>22</v>
      </c>
      <c r="C142" t="s">
        <v>23</v>
      </c>
      <c r="D142" t="s">
        <v>24</v>
      </c>
      <c r="E142">
        <v>2</v>
      </c>
      <c r="F142">
        <v>19.440000000000001</v>
      </c>
      <c r="G142">
        <v>3</v>
      </c>
      <c r="H142" s="12"/>
    </row>
    <row r="143" spans="1:8" x14ac:dyDescent="0.3">
      <c r="A143" t="s">
        <v>11</v>
      </c>
      <c r="B143" t="s">
        <v>8</v>
      </c>
      <c r="C143" t="s">
        <v>9</v>
      </c>
      <c r="D143" t="s">
        <v>10</v>
      </c>
      <c r="E143">
        <v>2</v>
      </c>
      <c r="F143">
        <v>19.489999999999998</v>
      </c>
      <c r="G143">
        <v>3.51</v>
      </c>
      <c r="H143" s="12"/>
    </row>
    <row r="144" spans="1:8" x14ac:dyDescent="0.3">
      <c r="A144" t="s">
        <v>7</v>
      </c>
      <c r="B144" t="s">
        <v>8</v>
      </c>
      <c r="C144" t="s">
        <v>21</v>
      </c>
      <c r="D144" t="s">
        <v>10</v>
      </c>
      <c r="E144">
        <v>2</v>
      </c>
      <c r="F144">
        <v>19.649999999999999</v>
      </c>
      <c r="G144">
        <v>3</v>
      </c>
      <c r="H144" s="12"/>
    </row>
    <row r="145" spans="1:8" x14ac:dyDescent="0.3">
      <c r="A145" t="s">
        <v>11</v>
      </c>
      <c r="B145" t="s">
        <v>8</v>
      </c>
      <c r="C145" t="s">
        <v>9</v>
      </c>
      <c r="D145" t="s">
        <v>10</v>
      </c>
      <c r="E145">
        <v>4</v>
      </c>
      <c r="F145">
        <v>19.77</v>
      </c>
      <c r="G145">
        <v>2</v>
      </c>
      <c r="H145" s="12"/>
    </row>
    <row r="146" spans="1:8" x14ac:dyDescent="0.3">
      <c r="A146" t="s">
        <v>7</v>
      </c>
      <c r="B146" t="s">
        <v>22</v>
      </c>
      <c r="C146" t="s">
        <v>23</v>
      </c>
      <c r="D146" t="s">
        <v>24</v>
      </c>
      <c r="E146">
        <v>2</v>
      </c>
      <c r="F146">
        <v>19.809999999999999</v>
      </c>
      <c r="G146">
        <v>4.1900000000000004</v>
      </c>
      <c r="H146" s="12"/>
    </row>
    <row r="147" spans="1:8" x14ac:dyDescent="0.3">
      <c r="A147" t="s">
        <v>11</v>
      </c>
      <c r="B147" t="s">
        <v>8</v>
      </c>
      <c r="C147" t="s">
        <v>21</v>
      </c>
      <c r="D147" t="s">
        <v>10</v>
      </c>
      <c r="E147">
        <v>2</v>
      </c>
      <c r="F147">
        <v>19.82</v>
      </c>
      <c r="G147">
        <v>3.18</v>
      </c>
      <c r="H147" s="12"/>
    </row>
    <row r="148" spans="1:8" x14ac:dyDescent="0.3">
      <c r="A148" t="s">
        <v>11</v>
      </c>
      <c r="B148" t="s">
        <v>8</v>
      </c>
      <c r="C148" t="s">
        <v>21</v>
      </c>
      <c r="D148" t="s">
        <v>10</v>
      </c>
      <c r="E148">
        <v>3</v>
      </c>
      <c r="F148">
        <v>20.079999999999998</v>
      </c>
      <c r="G148">
        <v>3.15</v>
      </c>
      <c r="H148" s="12"/>
    </row>
    <row r="149" spans="1:8" x14ac:dyDescent="0.3">
      <c r="A149" t="s">
        <v>11</v>
      </c>
      <c r="B149" t="s">
        <v>8</v>
      </c>
      <c r="C149" t="s">
        <v>21</v>
      </c>
      <c r="D149" t="s">
        <v>10</v>
      </c>
      <c r="E149">
        <v>2</v>
      </c>
      <c r="F149">
        <v>20.23</v>
      </c>
      <c r="G149">
        <v>2.0099999999999998</v>
      </c>
      <c r="H149" s="12"/>
    </row>
    <row r="150" spans="1:8" x14ac:dyDescent="0.3">
      <c r="A150" t="s">
        <v>7</v>
      </c>
      <c r="B150" t="s">
        <v>8</v>
      </c>
      <c r="C150" t="s">
        <v>23</v>
      </c>
      <c r="D150" t="s">
        <v>24</v>
      </c>
      <c r="E150">
        <v>2</v>
      </c>
      <c r="F150">
        <v>20.27</v>
      </c>
      <c r="G150">
        <v>2.83</v>
      </c>
      <c r="H150" s="12"/>
    </row>
    <row r="151" spans="1:8" x14ac:dyDescent="0.3">
      <c r="A151" t="s">
        <v>7</v>
      </c>
      <c r="B151" t="s">
        <v>8</v>
      </c>
      <c r="C151" t="s">
        <v>21</v>
      </c>
      <c r="D151" t="s">
        <v>10</v>
      </c>
      <c r="E151">
        <v>2</v>
      </c>
      <c r="F151">
        <v>20.29</v>
      </c>
      <c r="G151">
        <v>2.75</v>
      </c>
      <c r="H151" s="12"/>
    </row>
    <row r="152" spans="1:8" x14ac:dyDescent="0.3">
      <c r="A152" t="s">
        <v>11</v>
      </c>
      <c r="B152" t="s">
        <v>22</v>
      </c>
      <c r="C152" t="s">
        <v>21</v>
      </c>
      <c r="D152" t="s">
        <v>10</v>
      </c>
      <c r="E152">
        <v>2</v>
      </c>
      <c r="F152">
        <v>20.29</v>
      </c>
      <c r="G152">
        <v>3.21</v>
      </c>
      <c r="H152" s="12"/>
    </row>
    <row r="153" spans="1:8" x14ac:dyDescent="0.3">
      <c r="A153" t="s">
        <v>11</v>
      </c>
      <c r="B153" t="s">
        <v>8</v>
      </c>
      <c r="C153" t="s">
        <v>21</v>
      </c>
      <c r="D153" t="s">
        <v>10</v>
      </c>
      <c r="E153">
        <v>4</v>
      </c>
      <c r="F153">
        <v>20.45</v>
      </c>
      <c r="G153">
        <v>3</v>
      </c>
      <c r="H153" s="12"/>
    </row>
    <row r="154" spans="1:8" x14ac:dyDescent="0.3">
      <c r="A154" t="s">
        <v>11</v>
      </c>
      <c r="B154" t="s">
        <v>22</v>
      </c>
      <c r="C154" t="s">
        <v>21</v>
      </c>
      <c r="D154" t="s">
        <v>10</v>
      </c>
      <c r="E154">
        <v>2</v>
      </c>
      <c r="F154">
        <v>20.49</v>
      </c>
      <c r="G154">
        <v>4.0599999999999996</v>
      </c>
      <c r="H154" s="12"/>
    </row>
    <row r="155" spans="1:8" x14ac:dyDescent="0.3">
      <c r="A155" t="s">
        <v>11</v>
      </c>
      <c r="B155" t="s">
        <v>22</v>
      </c>
      <c r="C155" t="s">
        <v>23</v>
      </c>
      <c r="D155" t="s">
        <v>24</v>
      </c>
      <c r="E155">
        <v>4</v>
      </c>
      <c r="F155">
        <v>20.53</v>
      </c>
      <c r="G155">
        <v>4</v>
      </c>
      <c r="H155" s="12"/>
    </row>
    <row r="156" spans="1:8" x14ac:dyDescent="0.3">
      <c r="A156" t="s">
        <v>11</v>
      </c>
      <c r="B156" t="s">
        <v>8</v>
      </c>
      <c r="C156" t="s">
        <v>21</v>
      </c>
      <c r="D156" t="s">
        <v>10</v>
      </c>
      <c r="E156">
        <v>3</v>
      </c>
      <c r="F156">
        <v>20.65</v>
      </c>
      <c r="G156">
        <v>3.35</v>
      </c>
      <c r="H156" s="12"/>
    </row>
    <row r="157" spans="1:8" x14ac:dyDescent="0.3">
      <c r="A157" t="s">
        <v>7</v>
      </c>
      <c r="B157" t="s">
        <v>8</v>
      </c>
      <c r="C157" t="s">
        <v>21</v>
      </c>
      <c r="D157" t="s">
        <v>10</v>
      </c>
      <c r="E157">
        <v>4</v>
      </c>
      <c r="F157">
        <v>20.69</v>
      </c>
      <c r="G157">
        <v>2.4500000000000002</v>
      </c>
      <c r="H157" s="12"/>
    </row>
    <row r="158" spans="1:8" x14ac:dyDescent="0.3">
      <c r="A158" t="s">
        <v>11</v>
      </c>
      <c r="B158" t="s">
        <v>8</v>
      </c>
      <c r="C158" t="s">
        <v>9</v>
      </c>
      <c r="D158" t="s">
        <v>10</v>
      </c>
      <c r="E158">
        <v>5</v>
      </c>
      <c r="F158">
        <v>20.69</v>
      </c>
      <c r="G158">
        <v>5</v>
      </c>
      <c r="H158" s="12"/>
    </row>
    <row r="159" spans="1:8" x14ac:dyDescent="0.3">
      <c r="A159" t="s">
        <v>11</v>
      </c>
      <c r="B159" t="s">
        <v>8</v>
      </c>
      <c r="C159" t="s">
        <v>9</v>
      </c>
      <c r="D159" t="s">
        <v>10</v>
      </c>
      <c r="E159">
        <v>2</v>
      </c>
      <c r="F159">
        <v>20.76</v>
      </c>
      <c r="G159">
        <v>2.2400000000000002</v>
      </c>
      <c r="H159" s="12"/>
    </row>
    <row r="160" spans="1:8" x14ac:dyDescent="0.3">
      <c r="A160" t="s">
        <v>7</v>
      </c>
      <c r="B160" t="s">
        <v>22</v>
      </c>
      <c r="C160" t="s">
        <v>9</v>
      </c>
      <c r="D160" t="s">
        <v>10</v>
      </c>
      <c r="E160">
        <v>3</v>
      </c>
      <c r="F160">
        <v>20.9</v>
      </c>
      <c r="G160">
        <v>3.5</v>
      </c>
      <c r="H160" s="12"/>
    </row>
    <row r="161" spans="1:8" x14ac:dyDescent="0.3">
      <c r="A161" t="s">
        <v>7</v>
      </c>
      <c r="B161" t="s">
        <v>8</v>
      </c>
      <c r="C161" t="s">
        <v>21</v>
      </c>
      <c r="D161" t="s">
        <v>10</v>
      </c>
      <c r="E161">
        <v>2</v>
      </c>
      <c r="F161">
        <v>20.92</v>
      </c>
      <c r="G161">
        <v>4.08</v>
      </c>
      <c r="H161" s="12"/>
    </row>
    <row r="162" spans="1:8" x14ac:dyDescent="0.3">
      <c r="A162" t="s">
        <v>11</v>
      </c>
      <c r="B162" t="s">
        <v>8</v>
      </c>
      <c r="C162" t="s">
        <v>9</v>
      </c>
      <c r="D162" t="s">
        <v>10</v>
      </c>
      <c r="E162">
        <v>3</v>
      </c>
      <c r="F162">
        <v>21.01</v>
      </c>
      <c r="G162">
        <v>3.5</v>
      </c>
      <c r="H162" s="12"/>
    </row>
    <row r="163" spans="1:8" x14ac:dyDescent="0.3">
      <c r="A163" t="s">
        <v>11</v>
      </c>
      <c r="B163" t="s">
        <v>22</v>
      </c>
      <c r="C163" t="s">
        <v>25</v>
      </c>
      <c r="D163" t="s">
        <v>10</v>
      </c>
      <c r="E163">
        <v>2</v>
      </c>
      <c r="F163">
        <v>21.01</v>
      </c>
      <c r="G163">
        <v>3</v>
      </c>
      <c r="H163" s="12"/>
    </row>
    <row r="164" spans="1:8" x14ac:dyDescent="0.3">
      <c r="A164" t="s">
        <v>11</v>
      </c>
      <c r="B164" t="s">
        <v>8</v>
      </c>
      <c r="C164" t="s">
        <v>23</v>
      </c>
      <c r="D164" t="s">
        <v>24</v>
      </c>
      <c r="E164">
        <v>2</v>
      </c>
      <c r="F164">
        <v>21.16</v>
      </c>
      <c r="G164">
        <v>3</v>
      </c>
      <c r="H164" s="12"/>
    </row>
    <row r="165" spans="1:8" x14ac:dyDescent="0.3">
      <c r="A165" t="s">
        <v>11</v>
      </c>
      <c r="B165" t="s">
        <v>8</v>
      </c>
      <c r="C165" t="s">
        <v>9</v>
      </c>
      <c r="D165" t="s">
        <v>10</v>
      </c>
      <c r="E165">
        <v>4</v>
      </c>
      <c r="F165">
        <v>21.5</v>
      </c>
      <c r="G165">
        <v>3.5</v>
      </c>
      <c r="H165" s="12"/>
    </row>
    <row r="166" spans="1:8" x14ac:dyDescent="0.3">
      <c r="A166" t="s">
        <v>11</v>
      </c>
      <c r="B166" t="s">
        <v>8</v>
      </c>
      <c r="C166" t="s">
        <v>9</v>
      </c>
      <c r="D166" t="s">
        <v>10</v>
      </c>
      <c r="E166">
        <v>2</v>
      </c>
      <c r="F166">
        <v>21.58</v>
      </c>
      <c r="G166">
        <v>3.92</v>
      </c>
      <c r="H166" s="12"/>
    </row>
    <row r="167" spans="1:8" x14ac:dyDescent="0.3">
      <c r="A167" t="s">
        <v>11</v>
      </c>
      <c r="B167" t="s">
        <v>8</v>
      </c>
      <c r="C167" t="s">
        <v>21</v>
      </c>
      <c r="D167" t="s">
        <v>10</v>
      </c>
      <c r="E167">
        <v>2</v>
      </c>
      <c r="F167">
        <v>21.7</v>
      </c>
      <c r="G167">
        <v>4.3</v>
      </c>
      <c r="H167" s="12"/>
    </row>
    <row r="168" spans="1:8" x14ac:dyDescent="0.3">
      <c r="A168" t="s">
        <v>7</v>
      </c>
      <c r="B168" t="s">
        <v>22</v>
      </c>
      <c r="C168" t="s">
        <v>21</v>
      </c>
      <c r="D168" t="s">
        <v>10</v>
      </c>
      <c r="E168">
        <v>2</v>
      </c>
      <c r="F168">
        <v>22.12</v>
      </c>
      <c r="G168">
        <v>2.88</v>
      </c>
      <c r="H168" s="12"/>
    </row>
    <row r="169" spans="1:8" x14ac:dyDescent="0.3">
      <c r="A169" t="s">
        <v>11</v>
      </c>
      <c r="B169" t="s">
        <v>8</v>
      </c>
      <c r="C169" t="s">
        <v>9</v>
      </c>
      <c r="D169" t="s">
        <v>10</v>
      </c>
      <c r="E169">
        <v>2</v>
      </c>
      <c r="F169">
        <v>22.23</v>
      </c>
      <c r="G169">
        <v>5</v>
      </c>
      <c r="H169" s="12"/>
    </row>
    <row r="170" spans="1:8" x14ac:dyDescent="0.3">
      <c r="A170" t="s">
        <v>7</v>
      </c>
      <c r="B170" t="s">
        <v>22</v>
      </c>
      <c r="C170" t="s">
        <v>21</v>
      </c>
      <c r="D170" t="s">
        <v>10</v>
      </c>
      <c r="E170">
        <v>2</v>
      </c>
      <c r="F170">
        <v>22.42</v>
      </c>
      <c r="G170">
        <v>3.48</v>
      </c>
      <c r="H170" s="12"/>
    </row>
    <row r="171" spans="1:8" x14ac:dyDescent="0.3">
      <c r="A171" t="s">
        <v>11</v>
      </c>
      <c r="B171" t="s">
        <v>8</v>
      </c>
      <c r="C171" t="s">
        <v>25</v>
      </c>
      <c r="D171" t="s">
        <v>10</v>
      </c>
      <c r="E171">
        <v>2</v>
      </c>
      <c r="F171">
        <v>22.49</v>
      </c>
      <c r="G171">
        <v>3.5</v>
      </c>
      <c r="H171" s="12"/>
    </row>
    <row r="172" spans="1:8" x14ac:dyDescent="0.3">
      <c r="A172" t="s">
        <v>11</v>
      </c>
      <c r="B172" t="s">
        <v>22</v>
      </c>
      <c r="C172" t="s">
        <v>21</v>
      </c>
      <c r="D172" t="s">
        <v>10</v>
      </c>
      <c r="E172">
        <v>2</v>
      </c>
      <c r="F172">
        <v>22.67</v>
      </c>
      <c r="G172">
        <v>2</v>
      </c>
      <c r="H172" s="12"/>
    </row>
    <row r="173" spans="1:8" x14ac:dyDescent="0.3">
      <c r="A173" t="s">
        <v>7</v>
      </c>
      <c r="B173" t="s">
        <v>8</v>
      </c>
      <c r="C173" t="s">
        <v>25</v>
      </c>
      <c r="D173" t="s">
        <v>10</v>
      </c>
      <c r="E173">
        <v>2</v>
      </c>
      <c r="F173">
        <v>22.75</v>
      </c>
      <c r="G173">
        <v>3.25</v>
      </c>
      <c r="H173" s="12"/>
    </row>
    <row r="174" spans="1:8" x14ac:dyDescent="0.3">
      <c r="A174" t="s">
        <v>11</v>
      </c>
      <c r="B174" t="s">
        <v>8</v>
      </c>
      <c r="C174" t="s">
        <v>23</v>
      </c>
      <c r="D174" t="s">
        <v>24</v>
      </c>
      <c r="E174">
        <v>2</v>
      </c>
      <c r="F174">
        <v>22.76</v>
      </c>
      <c r="G174">
        <v>3</v>
      </c>
      <c r="H174" s="12"/>
    </row>
    <row r="175" spans="1:8" x14ac:dyDescent="0.3">
      <c r="A175" t="s">
        <v>11</v>
      </c>
      <c r="B175" t="s">
        <v>8</v>
      </c>
      <c r="C175" t="s">
        <v>23</v>
      </c>
      <c r="D175" t="s">
        <v>24</v>
      </c>
      <c r="E175">
        <v>3</v>
      </c>
      <c r="F175">
        <v>22.82</v>
      </c>
      <c r="G175">
        <v>2.1800000000000002</v>
      </c>
      <c r="H175" s="12"/>
    </row>
    <row r="176" spans="1:8" x14ac:dyDescent="0.3">
      <c r="A176" t="s">
        <v>11</v>
      </c>
      <c r="B176" t="s">
        <v>22</v>
      </c>
      <c r="C176" t="s">
        <v>9</v>
      </c>
      <c r="D176" t="s">
        <v>10</v>
      </c>
      <c r="E176">
        <v>3</v>
      </c>
      <c r="F176">
        <v>23.1</v>
      </c>
      <c r="G176">
        <v>4</v>
      </c>
      <c r="H176" s="12"/>
    </row>
    <row r="177" spans="1:8" x14ac:dyDescent="0.3">
      <c r="A177" t="s">
        <v>11</v>
      </c>
      <c r="B177" t="s">
        <v>22</v>
      </c>
      <c r="C177" t="s">
        <v>9</v>
      </c>
      <c r="D177" t="s">
        <v>10</v>
      </c>
      <c r="E177">
        <v>4</v>
      </c>
      <c r="F177">
        <v>23.17</v>
      </c>
      <c r="G177">
        <v>6.5</v>
      </c>
      <c r="H177" s="12"/>
    </row>
    <row r="178" spans="1:8" x14ac:dyDescent="0.3">
      <c r="A178" t="s">
        <v>11</v>
      </c>
      <c r="B178" t="s">
        <v>22</v>
      </c>
      <c r="C178" t="s">
        <v>9</v>
      </c>
      <c r="D178" t="s">
        <v>10</v>
      </c>
      <c r="E178">
        <v>2</v>
      </c>
      <c r="F178">
        <v>23.33</v>
      </c>
      <c r="G178">
        <v>5.65</v>
      </c>
      <c r="H178" s="12"/>
    </row>
    <row r="179" spans="1:8" x14ac:dyDescent="0.3">
      <c r="A179" t="s">
        <v>11</v>
      </c>
      <c r="B179" t="s">
        <v>8</v>
      </c>
      <c r="C179" t="s">
        <v>9</v>
      </c>
      <c r="D179" t="s">
        <v>10</v>
      </c>
      <c r="E179">
        <v>2</v>
      </c>
      <c r="F179">
        <v>23.68</v>
      </c>
      <c r="G179">
        <v>3.31</v>
      </c>
      <c r="H179" s="12"/>
    </row>
    <row r="180" spans="1:8" x14ac:dyDescent="0.3">
      <c r="A180" t="s">
        <v>11</v>
      </c>
      <c r="B180" t="s">
        <v>8</v>
      </c>
      <c r="C180" t="s">
        <v>9</v>
      </c>
      <c r="D180" t="s">
        <v>10</v>
      </c>
      <c r="E180">
        <v>2</v>
      </c>
      <c r="F180">
        <v>23.95</v>
      </c>
      <c r="G180">
        <v>2.5499999999999998</v>
      </c>
      <c r="H180" s="12"/>
    </row>
    <row r="181" spans="1:8" x14ac:dyDescent="0.3">
      <c r="A181" t="s">
        <v>11</v>
      </c>
      <c r="B181" t="s">
        <v>22</v>
      </c>
      <c r="C181" t="s">
        <v>21</v>
      </c>
      <c r="D181" t="s">
        <v>10</v>
      </c>
      <c r="E181">
        <v>4</v>
      </c>
      <c r="F181">
        <v>24.01</v>
      </c>
      <c r="G181">
        <v>2</v>
      </c>
      <c r="H181" s="12"/>
    </row>
    <row r="182" spans="1:8" x14ac:dyDescent="0.3">
      <c r="A182" t="s">
        <v>11</v>
      </c>
      <c r="B182" t="s">
        <v>8</v>
      </c>
      <c r="C182" t="s">
        <v>21</v>
      </c>
      <c r="D182" t="s">
        <v>10</v>
      </c>
      <c r="E182">
        <v>3</v>
      </c>
      <c r="F182">
        <v>24.06</v>
      </c>
      <c r="G182">
        <v>3.6</v>
      </c>
      <c r="H182" s="12"/>
    </row>
    <row r="183" spans="1:8" x14ac:dyDescent="0.3">
      <c r="A183" t="s">
        <v>7</v>
      </c>
      <c r="B183" t="s">
        <v>8</v>
      </c>
      <c r="C183" t="s">
        <v>23</v>
      </c>
      <c r="D183" t="s">
        <v>24</v>
      </c>
      <c r="E183">
        <v>4</v>
      </c>
      <c r="F183">
        <v>24.08</v>
      </c>
      <c r="G183">
        <v>2.92</v>
      </c>
      <c r="H183" s="12"/>
    </row>
    <row r="184" spans="1:8" x14ac:dyDescent="0.3">
      <c r="A184" t="s">
        <v>11</v>
      </c>
      <c r="B184" t="s">
        <v>22</v>
      </c>
      <c r="C184" t="s">
        <v>21</v>
      </c>
      <c r="D184" t="s">
        <v>10</v>
      </c>
      <c r="E184">
        <v>2</v>
      </c>
      <c r="F184">
        <v>24.27</v>
      </c>
      <c r="G184">
        <v>2.0299999999999998</v>
      </c>
      <c r="H184" s="12"/>
    </row>
    <row r="185" spans="1:8" x14ac:dyDescent="0.3">
      <c r="A185" t="s">
        <v>11</v>
      </c>
      <c r="B185" t="s">
        <v>8</v>
      </c>
      <c r="C185" t="s">
        <v>9</v>
      </c>
      <c r="D185" t="s">
        <v>10</v>
      </c>
      <c r="E185">
        <v>3</v>
      </c>
      <c r="F185">
        <v>24.52</v>
      </c>
      <c r="G185">
        <v>3.48</v>
      </c>
      <c r="H185" s="12"/>
    </row>
    <row r="186" spans="1:8" x14ac:dyDescent="0.3">
      <c r="A186" t="s">
        <v>11</v>
      </c>
      <c r="B186" t="s">
        <v>8</v>
      </c>
      <c r="C186" t="s">
        <v>9</v>
      </c>
      <c r="D186" t="s">
        <v>10</v>
      </c>
      <c r="E186">
        <v>4</v>
      </c>
      <c r="F186">
        <v>24.55</v>
      </c>
      <c r="G186">
        <v>2</v>
      </c>
      <c r="H186" s="12"/>
    </row>
    <row r="187" spans="1:8" x14ac:dyDescent="0.3">
      <c r="A187" t="s">
        <v>7</v>
      </c>
      <c r="B187" t="s">
        <v>8</v>
      </c>
      <c r="C187" t="s">
        <v>9</v>
      </c>
      <c r="D187" t="s">
        <v>10</v>
      </c>
      <c r="E187">
        <v>4</v>
      </c>
      <c r="F187">
        <v>24.59</v>
      </c>
      <c r="G187">
        <v>3.61</v>
      </c>
      <c r="H187" s="12"/>
    </row>
    <row r="188" spans="1:8" x14ac:dyDescent="0.3">
      <c r="A188" t="s">
        <v>11</v>
      </c>
      <c r="B188" t="s">
        <v>8</v>
      </c>
      <c r="C188" t="s">
        <v>23</v>
      </c>
      <c r="D188" t="s">
        <v>24</v>
      </c>
      <c r="E188">
        <v>2</v>
      </c>
      <c r="F188">
        <v>24.71</v>
      </c>
      <c r="G188">
        <v>5.85</v>
      </c>
      <c r="H188" s="12"/>
    </row>
    <row r="189" spans="1:8" x14ac:dyDescent="0.3">
      <c r="A189" t="s">
        <v>7</v>
      </c>
      <c r="B189" t="s">
        <v>8</v>
      </c>
      <c r="C189" t="s">
        <v>9</v>
      </c>
      <c r="D189" t="s">
        <v>10</v>
      </c>
      <c r="E189">
        <v>4</v>
      </c>
      <c r="F189">
        <v>25</v>
      </c>
      <c r="G189">
        <v>3.75</v>
      </c>
      <c r="H189" s="12"/>
    </row>
    <row r="190" spans="1:8" x14ac:dyDescent="0.3">
      <c r="A190" t="s">
        <v>11</v>
      </c>
      <c r="B190" t="s">
        <v>22</v>
      </c>
      <c r="C190" t="s">
        <v>21</v>
      </c>
      <c r="D190" t="s">
        <v>10</v>
      </c>
      <c r="E190">
        <v>2</v>
      </c>
      <c r="F190">
        <v>25.21</v>
      </c>
      <c r="G190">
        <v>4.29</v>
      </c>
      <c r="H190" s="12"/>
    </row>
    <row r="191" spans="1:8" x14ac:dyDescent="0.3">
      <c r="A191" t="s">
        <v>7</v>
      </c>
      <c r="B191" t="s">
        <v>22</v>
      </c>
      <c r="C191" t="s">
        <v>21</v>
      </c>
      <c r="D191" t="s">
        <v>10</v>
      </c>
      <c r="E191">
        <v>2</v>
      </c>
      <c r="F191">
        <v>25.28</v>
      </c>
      <c r="G191">
        <v>5</v>
      </c>
      <c r="H191" s="12"/>
    </row>
    <row r="192" spans="1:8" x14ac:dyDescent="0.3">
      <c r="A192" t="s">
        <v>11</v>
      </c>
      <c r="B192" t="s">
        <v>8</v>
      </c>
      <c r="C192" t="s">
        <v>9</v>
      </c>
      <c r="D192" t="s">
        <v>10</v>
      </c>
      <c r="E192">
        <v>4</v>
      </c>
      <c r="F192">
        <v>25.29</v>
      </c>
      <c r="G192">
        <v>4.71</v>
      </c>
      <c r="H192" s="12"/>
    </row>
    <row r="193" spans="1:8" x14ac:dyDescent="0.3">
      <c r="A193" t="s">
        <v>11</v>
      </c>
      <c r="B193" t="s">
        <v>8</v>
      </c>
      <c r="C193" t="s">
        <v>9</v>
      </c>
      <c r="D193" t="s">
        <v>10</v>
      </c>
      <c r="E193">
        <v>4</v>
      </c>
      <c r="F193">
        <v>25.56</v>
      </c>
      <c r="G193">
        <v>4.34</v>
      </c>
      <c r="H193" s="12"/>
    </row>
    <row r="194" spans="1:8" x14ac:dyDescent="0.3">
      <c r="A194" t="s">
        <v>7</v>
      </c>
      <c r="B194" t="s">
        <v>8</v>
      </c>
      <c r="C194" t="s">
        <v>9</v>
      </c>
      <c r="D194" t="s">
        <v>10</v>
      </c>
      <c r="E194">
        <v>3</v>
      </c>
      <c r="F194">
        <v>25.71</v>
      </c>
      <c r="G194">
        <v>4</v>
      </c>
      <c r="H194" s="12"/>
    </row>
    <row r="195" spans="1:8" x14ac:dyDescent="0.3">
      <c r="A195" t="s">
        <v>11</v>
      </c>
      <c r="B195" t="s">
        <v>22</v>
      </c>
      <c r="C195" t="s">
        <v>21</v>
      </c>
      <c r="D195" t="s">
        <v>10</v>
      </c>
      <c r="E195">
        <v>4</v>
      </c>
      <c r="F195">
        <v>25.89</v>
      </c>
      <c r="G195">
        <v>5.16</v>
      </c>
      <c r="H195" s="12"/>
    </row>
    <row r="196" spans="1:8" x14ac:dyDescent="0.3">
      <c r="A196" t="s">
        <v>7</v>
      </c>
      <c r="B196" t="s">
        <v>8</v>
      </c>
      <c r="C196" t="s">
        <v>21</v>
      </c>
      <c r="D196" t="s">
        <v>10</v>
      </c>
      <c r="E196">
        <v>2</v>
      </c>
      <c r="F196">
        <v>26.41</v>
      </c>
      <c r="G196">
        <v>1.5</v>
      </c>
      <c r="H196" s="12"/>
    </row>
    <row r="197" spans="1:8" x14ac:dyDescent="0.3">
      <c r="A197" t="s">
        <v>11</v>
      </c>
      <c r="B197" t="s">
        <v>22</v>
      </c>
      <c r="C197" t="s">
        <v>21</v>
      </c>
      <c r="D197" t="s">
        <v>10</v>
      </c>
      <c r="E197">
        <v>3</v>
      </c>
      <c r="F197">
        <v>26.59</v>
      </c>
      <c r="G197">
        <v>3.41</v>
      </c>
      <c r="H197" s="12"/>
    </row>
    <row r="198" spans="1:8" x14ac:dyDescent="0.3">
      <c r="A198" t="s">
        <v>7</v>
      </c>
      <c r="B198" t="s">
        <v>22</v>
      </c>
      <c r="C198" t="s">
        <v>21</v>
      </c>
      <c r="D198" t="s">
        <v>10</v>
      </c>
      <c r="E198">
        <v>2</v>
      </c>
      <c r="F198">
        <v>26.86</v>
      </c>
      <c r="G198">
        <v>3.14</v>
      </c>
      <c r="H198" s="12"/>
    </row>
    <row r="199" spans="1:8" x14ac:dyDescent="0.3">
      <c r="A199" t="s">
        <v>11</v>
      </c>
      <c r="B199" t="s">
        <v>8</v>
      </c>
      <c r="C199" t="s">
        <v>9</v>
      </c>
      <c r="D199" t="s">
        <v>10</v>
      </c>
      <c r="E199">
        <v>4</v>
      </c>
      <c r="F199">
        <v>26.88</v>
      </c>
      <c r="G199">
        <v>3.12</v>
      </c>
      <c r="H199" s="12"/>
    </row>
    <row r="200" spans="1:8" x14ac:dyDescent="0.3">
      <c r="A200" t="s">
        <v>7</v>
      </c>
      <c r="B200" t="s">
        <v>8</v>
      </c>
      <c r="C200" t="s">
        <v>23</v>
      </c>
      <c r="D200" t="s">
        <v>24</v>
      </c>
      <c r="E200">
        <v>6</v>
      </c>
      <c r="F200">
        <v>27.05</v>
      </c>
      <c r="G200">
        <v>5</v>
      </c>
      <c r="H200" s="12"/>
    </row>
    <row r="201" spans="1:8" x14ac:dyDescent="0.3">
      <c r="A201" t="s">
        <v>7</v>
      </c>
      <c r="B201" t="s">
        <v>22</v>
      </c>
      <c r="C201" t="s">
        <v>21</v>
      </c>
      <c r="D201" t="s">
        <v>10</v>
      </c>
      <c r="E201">
        <v>2</v>
      </c>
      <c r="F201">
        <v>27.18</v>
      </c>
      <c r="G201">
        <v>2</v>
      </c>
      <c r="H201" s="12"/>
    </row>
    <row r="202" spans="1:8" x14ac:dyDescent="0.3">
      <c r="A202" t="s">
        <v>11</v>
      </c>
      <c r="B202" t="s">
        <v>8</v>
      </c>
      <c r="C202" t="s">
        <v>23</v>
      </c>
      <c r="D202" t="s">
        <v>24</v>
      </c>
      <c r="E202">
        <v>4</v>
      </c>
      <c r="F202">
        <v>27.2</v>
      </c>
      <c r="G202">
        <v>4</v>
      </c>
      <c r="H202" s="12"/>
    </row>
    <row r="203" spans="1:8" x14ac:dyDescent="0.3">
      <c r="A203" t="s">
        <v>11</v>
      </c>
      <c r="B203" t="s">
        <v>22</v>
      </c>
      <c r="C203" t="s">
        <v>25</v>
      </c>
      <c r="D203" t="s">
        <v>10</v>
      </c>
      <c r="E203">
        <v>2</v>
      </c>
      <c r="F203">
        <v>27.28</v>
      </c>
      <c r="G203">
        <v>4</v>
      </c>
      <c r="H203" s="12"/>
    </row>
    <row r="204" spans="1:8" x14ac:dyDescent="0.3">
      <c r="A204" t="s">
        <v>11</v>
      </c>
      <c r="B204" t="s">
        <v>22</v>
      </c>
      <c r="C204" t="s">
        <v>21</v>
      </c>
      <c r="D204" t="s">
        <v>10</v>
      </c>
      <c r="E204">
        <v>5</v>
      </c>
      <c r="F204">
        <v>28.15</v>
      </c>
      <c r="G204">
        <v>3</v>
      </c>
      <c r="H204" s="12"/>
    </row>
    <row r="205" spans="1:8" x14ac:dyDescent="0.3">
      <c r="A205" t="s">
        <v>7</v>
      </c>
      <c r="B205" t="s">
        <v>22</v>
      </c>
      <c r="C205" t="s">
        <v>21</v>
      </c>
      <c r="D205" t="s">
        <v>10</v>
      </c>
      <c r="E205">
        <v>3</v>
      </c>
      <c r="F205">
        <v>28.17</v>
      </c>
      <c r="G205">
        <v>6.5</v>
      </c>
      <c r="H205" s="12"/>
    </row>
    <row r="206" spans="1:8" x14ac:dyDescent="0.3">
      <c r="A206" t="s">
        <v>11</v>
      </c>
      <c r="B206" t="s">
        <v>22</v>
      </c>
      <c r="C206" t="s">
        <v>23</v>
      </c>
      <c r="D206" t="s">
        <v>24</v>
      </c>
      <c r="E206">
        <v>2</v>
      </c>
      <c r="F206">
        <v>28.44</v>
      </c>
      <c r="G206">
        <v>2.56</v>
      </c>
      <c r="H206" s="12"/>
    </row>
    <row r="207" spans="1:8" x14ac:dyDescent="0.3">
      <c r="A207" t="s">
        <v>11</v>
      </c>
      <c r="B207" t="s">
        <v>8</v>
      </c>
      <c r="C207" t="s">
        <v>9</v>
      </c>
      <c r="D207" t="s">
        <v>10</v>
      </c>
      <c r="E207">
        <v>3</v>
      </c>
      <c r="F207">
        <v>28.55</v>
      </c>
      <c r="G207">
        <v>2.0499999999999998</v>
      </c>
      <c r="H207" s="12"/>
    </row>
    <row r="208" spans="1:8" x14ac:dyDescent="0.3">
      <c r="A208" t="s">
        <v>11</v>
      </c>
      <c r="B208" t="s">
        <v>22</v>
      </c>
      <c r="C208" t="s">
        <v>25</v>
      </c>
      <c r="D208" t="s">
        <v>10</v>
      </c>
      <c r="E208">
        <v>2</v>
      </c>
      <c r="F208">
        <v>28.97</v>
      </c>
      <c r="G208">
        <v>3</v>
      </c>
      <c r="H208" s="12"/>
    </row>
    <row r="209" spans="1:8" x14ac:dyDescent="0.3">
      <c r="A209" t="s">
        <v>11</v>
      </c>
      <c r="B209" t="s">
        <v>8</v>
      </c>
      <c r="C209" t="s">
        <v>21</v>
      </c>
      <c r="D209" t="s">
        <v>10</v>
      </c>
      <c r="E209">
        <v>3</v>
      </c>
      <c r="F209">
        <v>29.03</v>
      </c>
      <c r="G209">
        <v>5.92</v>
      </c>
      <c r="H209" s="12"/>
    </row>
    <row r="210" spans="1:8" x14ac:dyDescent="0.3">
      <c r="A210" t="s">
        <v>7</v>
      </c>
      <c r="B210" t="s">
        <v>8</v>
      </c>
      <c r="C210" t="s">
        <v>23</v>
      </c>
      <c r="D210" t="s">
        <v>24</v>
      </c>
      <c r="E210">
        <v>6</v>
      </c>
      <c r="F210">
        <v>29.8</v>
      </c>
      <c r="G210">
        <v>4.2</v>
      </c>
      <c r="H210" s="12"/>
    </row>
    <row r="211" spans="1:8" x14ac:dyDescent="0.3">
      <c r="A211" t="s">
        <v>7</v>
      </c>
      <c r="B211" t="s">
        <v>8</v>
      </c>
      <c r="C211" t="s">
        <v>9</v>
      </c>
      <c r="D211" t="s">
        <v>10</v>
      </c>
      <c r="E211">
        <v>5</v>
      </c>
      <c r="F211">
        <v>29.85</v>
      </c>
      <c r="G211">
        <v>5.14</v>
      </c>
      <c r="H211" s="12"/>
    </row>
    <row r="212" spans="1:8" x14ac:dyDescent="0.3">
      <c r="A212" t="s">
        <v>11</v>
      </c>
      <c r="B212" t="s">
        <v>8</v>
      </c>
      <c r="C212" t="s">
        <v>9</v>
      </c>
      <c r="D212" t="s">
        <v>10</v>
      </c>
      <c r="E212">
        <v>4</v>
      </c>
      <c r="F212">
        <v>29.93</v>
      </c>
      <c r="G212">
        <v>5.07</v>
      </c>
      <c r="H212" s="12"/>
    </row>
    <row r="213" spans="1:8" x14ac:dyDescent="0.3">
      <c r="A213" t="s">
        <v>11</v>
      </c>
      <c r="B213" t="s">
        <v>22</v>
      </c>
      <c r="C213" t="s">
        <v>21</v>
      </c>
      <c r="D213" t="s">
        <v>10</v>
      </c>
      <c r="E213">
        <v>3</v>
      </c>
      <c r="F213">
        <v>30.06</v>
      </c>
      <c r="G213">
        <v>2</v>
      </c>
      <c r="H213" s="12"/>
    </row>
    <row r="214" spans="1:8" x14ac:dyDescent="0.3">
      <c r="A214" t="s">
        <v>7</v>
      </c>
      <c r="B214" t="s">
        <v>22</v>
      </c>
      <c r="C214" t="s">
        <v>21</v>
      </c>
      <c r="D214" t="s">
        <v>10</v>
      </c>
      <c r="E214">
        <v>4</v>
      </c>
      <c r="F214">
        <v>30.14</v>
      </c>
      <c r="G214">
        <v>3.09</v>
      </c>
      <c r="H214" s="12"/>
    </row>
    <row r="215" spans="1:8" x14ac:dyDescent="0.3">
      <c r="A215" t="s">
        <v>11</v>
      </c>
      <c r="B215" t="s">
        <v>8</v>
      </c>
      <c r="C215" t="s">
        <v>9</v>
      </c>
      <c r="D215" t="s">
        <v>10</v>
      </c>
      <c r="E215">
        <v>4</v>
      </c>
      <c r="F215">
        <v>30.4</v>
      </c>
      <c r="G215">
        <v>5.6</v>
      </c>
      <c r="H215" s="12"/>
    </row>
    <row r="216" spans="1:8" x14ac:dyDescent="0.3">
      <c r="A216" t="s">
        <v>11</v>
      </c>
      <c r="B216" t="s">
        <v>22</v>
      </c>
      <c r="C216" t="s">
        <v>9</v>
      </c>
      <c r="D216" t="s">
        <v>10</v>
      </c>
      <c r="E216">
        <v>5</v>
      </c>
      <c r="F216">
        <v>30.46</v>
      </c>
      <c r="G216">
        <v>2</v>
      </c>
      <c r="H216" s="12"/>
    </row>
    <row r="217" spans="1:8" x14ac:dyDescent="0.3">
      <c r="A217" t="s">
        <v>11</v>
      </c>
      <c r="B217" t="s">
        <v>8</v>
      </c>
      <c r="C217" t="s">
        <v>21</v>
      </c>
      <c r="D217" t="s">
        <v>10</v>
      </c>
      <c r="E217">
        <v>3</v>
      </c>
      <c r="F217">
        <v>31.27</v>
      </c>
      <c r="G217">
        <v>5</v>
      </c>
      <c r="H217" s="12"/>
    </row>
    <row r="218" spans="1:8" x14ac:dyDescent="0.3">
      <c r="A218" t="s">
        <v>11</v>
      </c>
      <c r="B218" t="s">
        <v>8</v>
      </c>
      <c r="C218" t="s">
        <v>9</v>
      </c>
      <c r="D218" t="s">
        <v>10</v>
      </c>
      <c r="E218">
        <v>4</v>
      </c>
      <c r="F218">
        <v>31.71</v>
      </c>
      <c r="G218">
        <v>4.5</v>
      </c>
      <c r="H218" s="12"/>
    </row>
    <row r="219" spans="1:8" x14ac:dyDescent="0.3">
      <c r="A219" t="s">
        <v>11</v>
      </c>
      <c r="B219" t="s">
        <v>22</v>
      </c>
      <c r="C219" t="s">
        <v>9</v>
      </c>
      <c r="D219" t="s">
        <v>10</v>
      </c>
      <c r="E219">
        <v>2</v>
      </c>
      <c r="F219">
        <v>31.85</v>
      </c>
      <c r="G219">
        <v>3.18</v>
      </c>
      <c r="H219" s="12"/>
    </row>
    <row r="220" spans="1:8" x14ac:dyDescent="0.3">
      <c r="A220" t="s">
        <v>11</v>
      </c>
      <c r="B220" t="s">
        <v>8</v>
      </c>
      <c r="C220" t="s">
        <v>9</v>
      </c>
      <c r="D220" t="s">
        <v>10</v>
      </c>
      <c r="E220">
        <v>4</v>
      </c>
      <c r="F220">
        <v>32.4</v>
      </c>
      <c r="G220">
        <v>6</v>
      </c>
      <c r="H220" s="12"/>
    </row>
    <row r="221" spans="1:8" x14ac:dyDescent="0.3">
      <c r="A221" t="s">
        <v>11</v>
      </c>
      <c r="B221" t="s">
        <v>22</v>
      </c>
      <c r="C221" t="s">
        <v>23</v>
      </c>
      <c r="D221" t="s">
        <v>24</v>
      </c>
      <c r="E221">
        <v>2</v>
      </c>
      <c r="F221">
        <v>32.68</v>
      </c>
      <c r="G221">
        <v>5</v>
      </c>
      <c r="H221" s="12"/>
    </row>
    <row r="222" spans="1:8" x14ac:dyDescent="0.3">
      <c r="A222" t="s">
        <v>11</v>
      </c>
      <c r="B222" t="s">
        <v>22</v>
      </c>
      <c r="C222" t="s">
        <v>21</v>
      </c>
      <c r="D222" t="s">
        <v>10</v>
      </c>
      <c r="E222">
        <v>2</v>
      </c>
      <c r="F222">
        <v>32.83</v>
      </c>
      <c r="G222">
        <v>1.17</v>
      </c>
      <c r="H222" s="12"/>
    </row>
    <row r="223" spans="1:8" x14ac:dyDescent="0.3">
      <c r="A223" t="s">
        <v>11</v>
      </c>
      <c r="B223" t="s">
        <v>22</v>
      </c>
      <c r="C223" t="s">
        <v>9</v>
      </c>
      <c r="D223" t="s">
        <v>10</v>
      </c>
      <c r="E223">
        <v>2</v>
      </c>
      <c r="F223">
        <v>32.9</v>
      </c>
      <c r="G223">
        <v>3.11</v>
      </c>
      <c r="H223" s="12"/>
    </row>
    <row r="224" spans="1:8" x14ac:dyDescent="0.3">
      <c r="A224" t="s">
        <v>11</v>
      </c>
      <c r="B224" t="s">
        <v>8</v>
      </c>
      <c r="C224" t="s">
        <v>23</v>
      </c>
      <c r="D224" t="s">
        <v>24</v>
      </c>
      <c r="E224">
        <v>6</v>
      </c>
      <c r="F224">
        <v>34.299999999999997</v>
      </c>
      <c r="G224">
        <v>6.7</v>
      </c>
      <c r="H224" s="12"/>
    </row>
    <row r="225" spans="1:8" x14ac:dyDescent="0.3">
      <c r="A225" t="s">
        <v>11</v>
      </c>
      <c r="B225" t="s">
        <v>22</v>
      </c>
      <c r="C225" t="s">
        <v>9</v>
      </c>
      <c r="D225" t="s">
        <v>10</v>
      </c>
      <c r="E225">
        <v>2</v>
      </c>
      <c r="F225">
        <v>34.630000000000003</v>
      </c>
      <c r="G225">
        <v>3.55</v>
      </c>
      <c r="H225" s="12"/>
    </row>
    <row r="226" spans="1:8" x14ac:dyDescent="0.3">
      <c r="A226" t="s">
        <v>11</v>
      </c>
      <c r="B226" t="s">
        <v>22</v>
      </c>
      <c r="C226" t="s">
        <v>9</v>
      </c>
      <c r="D226" t="s">
        <v>10</v>
      </c>
      <c r="E226">
        <v>4</v>
      </c>
      <c r="F226">
        <v>34.65</v>
      </c>
      <c r="G226">
        <v>3.68</v>
      </c>
      <c r="H226" s="12"/>
    </row>
    <row r="227" spans="1:8" x14ac:dyDescent="0.3">
      <c r="A227" t="s">
        <v>7</v>
      </c>
      <c r="B227" t="s">
        <v>8</v>
      </c>
      <c r="C227" t="s">
        <v>9</v>
      </c>
      <c r="D227" t="s">
        <v>10</v>
      </c>
      <c r="E227">
        <v>4</v>
      </c>
      <c r="F227">
        <v>34.81</v>
      </c>
      <c r="G227">
        <v>5.2</v>
      </c>
      <c r="H227" s="12"/>
    </row>
    <row r="228" spans="1:8" x14ac:dyDescent="0.3">
      <c r="A228" t="s">
        <v>7</v>
      </c>
      <c r="B228" t="s">
        <v>8</v>
      </c>
      <c r="C228" t="s">
        <v>23</v>
      </c>
      <c r="D228" t="s">
        <v>24</v>
      </c>
      <c r="E228">
        <v>4</v>
      </c>
      <c r="F228">
        <v>34.83</v>
      </c>
      <c r="G228">
        <v>5.17</v>
      </c>
      <c r="H228" s="12"/>
    </row>
    <row r="229" spans="1:8" x14ac:dyDescent="0.3">
      <c r="A229" t="s">
        <v>7</v>
      </c>
      <c r="B229" t="s">
        <v>8</v>
      </c>
      <c r="C229" t="s">
        <v>9</v>
      </c>
      <c r="D229" t="s">
        <v>10</v>
      </c>
      <c r="E229">
        <v>4</v>
      </c>
      <c r="F229">
        <v>35.26</v>
      </c>
      <c r="G229">
        <v>5</v>
      </c>
      <c r="H229" s="12"/>
    </row>
    <row r="230" spans="1:8" x14ac:dyDescent="0.3">
      <c r="A230" t="s">
        <v>7</v>
      </c>
      <c r="B230" t="s">
        <v>8</v>
      </c>
      <c r="C230" t="s">
        <v>21</v>
      </c>
      <c r="D230" t="s">
        <v>10</v>
      </c>
      <c r="E230">
        <v>3</v>
      </c>
      <c r="F230">
        <v>35.83</v>
      </c>
      <c r="G230">
        <v>4.67</v>
      </c>
      <c r="H230" s="12"/>
    </row>
    <row r="231" spans="1:8" x14ac:dyDescent="0.3">
      <c r="A231" t="s">
        <v>11</v>
      </c>
      <c r="B231" t="s">
        <v>22</v>
      </c>
      <c r="C231" t="s">
        <v>21</v>
      </c>
      <c r="D231" t="s">
        <v>10</v>
      </c>
      <c r="E231">
        <v>4</v>
      </c>
      <c r="F231">
        <v>38.01</v>
      </c>
      <c r="G231">
        <v>3</v>
      </c>
      <c r="H231" s="12"/>
    </row>
    <row r="232" spans="1:8" x14ac:dyDescent="0.3">
      <c r="A232" t="s">
        <v>11</v>
      </c>
      <c r="B232" t="s">
        <v>8</v>
      </c>
      <c r="C232" t="s">
        <v>9</v>
      </c>
      <c r="D232" t="s">
        <v>10</v>
      </c>
      <c r="E232">
        <v>3</v>
      </c>
      <c r="F232">
        <v>38.07</v>
      </c>
      <c r="G232">
        <v>4</v>
      </c>
      <c r="H232" s="12"/>
    </row>
    <row r="233" spans="1:8" x14ac:dyDescent="0.3">
      <c r="A233" t="s">
        <v>11</v>
      </c>
      <c r="B233" t="s">
        <v>22</v>
      </c>
      <c r="C233" t="s">
        <v>21</v>
      </c>
      <c r="D233" t="s">
        <v>10</v>
      </c>
      <c r="E233">
        <v>4</v>
      </c>
      <c r="F233">
        <v>38.729999999999997</v>
      </c>
      <c r="G233">
        <v>3</v>
      </c>
      <c r="H233" s="12"/>
    </row>
    <row r="234" spans="1:8" x14ac:dyDescent="0.3">
      <c r="A234" t="s">
        <v>11</v>
      </c>
      <c r="B234" t="s">
        <v>8</v>
      </c>
      <c r="C234" t="s">
        <v>21</v>
      </c>
      <c r="D234" t="s">
        <v>10</v>
      </c>
      <c r="E234">
        <v>4</v>
      </c>
      <c r="F234">
        <v>39.42</v>
      </c>
      <c r="G234">
        <v>7.58</v>
      </c>
      <c r="H234" s="12"/>
    </row>
    <row r="235" spans="1:8" x14ac:dyDescent="0.3">
      <c r="A235" t="s">
        <v>11</v>
      </c>
      <c r="B235" t="s">
        <v>22</v>
      </c>
      <c r="C235" t="s">
        <v>25</v>
      </c>
      <c r="D235" t="s">
        <v>10</v>
      </c>
      <c r="E235">
        <v>4</v>
      </c>
      <c r="F235">
        <v>40.17</v>
      </c>
      <c r="G235">
        <v>4.7300000000000004</v>
      </c>
      <c r="H235" s="12"/>
    </row>
    <row r="236" spans="1:8" x14ac:dyDescent="0.3">
      <c r="A236" t="s">
        <v>11</v>
      </c>
      <c r="B236" t="s">
        <v>22</v>
      </c>
      <c r="C236" t="s">
        <v>9</v>
      </c>
      <c r="D236" t="s">
        <v>10</v>
      </c>
      <c r="E236">
        <v>2</v>
      </c>
      <c r="F236">
        <v>40.549999999999997</v>
      </c>
      <c r="G236">
        <v>3</v>
      </c>
      <c r="H236" s="12"/>
    </row>
    <row r="237" spans="1:8" x14ac:dyDescent="0.3">
      <c r="A237" t="s">
        <v>11</v>
      </c>
      <c r="B237" t="s">
        <v>8</v>
      </c>
      <c r="C237" t="s">
        <v>23</v>
      </c>
      <c r="D237" t="s">
        <v>24</v>
      </c>
      <c r="E237">
        <v>5</v>
      </c>
      <c r="F237">
        <v>41.19</v>
      </c>
      <c r="G237">
        <v>5</v>
      </c>
      <c r="H237" s="12"/>
    </row>
    <row r="238" spans="1:8" x14ac:dyDescent="0.3">
      <c r="A238" t="s">
        <v>7</v>
      </c>
      <c r="B238" t="s">
        <v>22</v>
      </c>
      <c r="C238" t="s">
        <v>23</v>
      </c>
      <c r="D238" t="s">
        <v>24</v>
      </c>
      <c r="E238">
        <v>4</v>
      </c>
      <c r="F238">
        <v>43.11</v>
      </c>
      <c r="G238">
        <v>5</v>
      </c>
      <c r="H238" s="12"/>
    </row>
    <row r="239" spans="1:8" x14ac:dyDescent="0.3">
      <c r="A239" t="s">
        <v>7</v>
      </c>
      <c r="B239" t="s">
        <v>22</v>
      </c>
      <c r="C239" t="s">
        <v>21</v>
      </c>
      <c r="D239" t="s">
        <v>10</v>
      </c>
      <c r="E239">
        <v>3</v>
      </c>
      <c r="F239">
        <v>44.3</v>
      </c>
      <c r="G239">
        <v>2.5</v>
      </c>
      <c r="H239" s="12"/>
    </row>
    <row r="240" spans="1:8" x14ac:dyDescent="0.3">
      <c r="A240" t="s">
        <v>11</v>
      </c>
      <c r="B240" t="s">
        <v>22</v>
      </c>
      <c r="C240" t="s">
        <v>9</v>
      </c>
      <c r="D240" t="s">
        <v>10</v>
      </c>
      <c r="E240">
        <v>3</v>
      </c>
      <c r="F240">
        <v>45.35</v>
      </c>
      <c r="G240">
        <v>3.5</v>
      </c>
      <c r="H240" s="12"/>
    </row>
    <row r="241" spans="1:8" x14ac:dyDescent="0.3">
      <c r="A241" t="s">
        <v>11</v>
      </c>
      <c r="B241" t="s">
        <v>8</v>
      </c>
      <c r="C241" t="s">
        <v>9</v>
      </c>
      <c r="D241" t="s">
        <v>10</v>
      </c>
      <c r="E241">
        <v>6</v>
      </c>
      <c r="F241">
        <v>48.17</v>
      </c>
      <c r="G241">
        <v>5</v>
      </c>
      <c r="H241" s="12"/>
    </row>
    <row r="242" spans="1:8" x14ac:dyDescent="0.3">
      <c r="A242" t="s">
        <v>11</v>
      </c>
      <c r="B242" t="s">
        <v>8</v>
      </c>
      <c r="C242" t="s">
        <v>21</v>
      </c>
      <c r="D242" t="s">
        <v>10</v>
      </c>
      <c r="E242">
        <v>4</v>
      </c>
      <c r="F242">
        <v>48.27</v>
      </c>
      <c r="G242">
        <v>6.73</v>
      </c>
      <c r="H242" s="12"/>
    </row>
    <row r="243" spans="1:8" x14ac:dyDescent="0.3">
      <c r="A243" t="s">
        <v>11</v>
      </c>
      <c r="B243" t="s">
        <v>8</v>
      </c>
      <c r="C243" t="s">
        <v>21</v>
      </c>
      <c r="D243" t="s">
        <v>10</v>
      </c>
      <c r="E243">
        <v>4</v>
      </c>
      <c r="F243">
        <v>48.33</v>
      </c>
      <c r="G243">
        <v>9</v>
      </c>
      <c r="H243" s="12"/>
    </row>
    <row r="244" spans="1:8" x14ac:dyDescent="0.3">
      <c r="A244" t="s">
        <v>11</v>
      </c>
      <c r="B244" t="s">
        <v>22</v>
      </c>
      <c r="C244" t="s">
        <v>21</v>
      </c>
      <c r="D244" t="s">
        <v>10</v>
      </c>
      <c r="E244">
        <v>3</v>
      </c>
      <c r="F244">
        <v>50.81</v>
      </c>
      <c r="G244">
        <v>10</v>
      </c>
      <c r="H244" s="12"/>
    </row>
  </sheetData>
  <autoFilter ref="A1:G244" xr:uid="{8E47EB0B-904D-4A32-AC49-EEE4C902527F}">
    <sortState xmlns:xlrd2="http://schemas.microsoft.com/office/spreadsheetml/2017/richdata2" ref="A2:G244">
      <sortCondition ref="F2:F244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EA3BA3-5D01-409E-8620-9FBA213CAB5C}">
  <dimension ref="A1:W244"/>
  <sheetViews>
    <sheetView workbookViewId="0">
      <selection activeCell="M12" sqref="M12"/>
    </sheetView>
  </sheetViews>
  <sheetFormatPr defaultColWidth="13.44140625" defaultRowHeight="14.4" x14ac:dyDescent="0.3"/>
  <cols>
    <col min="12" max="12" width="13.6640625" bestFit="1" customWidth="1"/>
    <col min="13" max="13" width="18.6640625" bestFit="1" customWidth="1"/>
    <col min="14" max="14" width="19.88671875" customWidth="1"/>
    <col min="15" max="15" width="15.88671875" bestFit="1" customWidth="1"/>
    <col min="16" max="16" width="13.21875" customWidth="1"/>
  </cols>
  <sheetData>
    <row r="1" spans="1:23" s="41" customFormat="1" ht="18" x14ac:dyDescent="0.35">
      <c r="A1" s="41" t="s">
        <v>11</v>
      </c>
      <c r="B1" s="41" t="s">
        <v>7</v>
      </c>
      <c r="C1" s="41" t="s">
        <v>405</v>
      </c>
      <c r="D1" s="41" t="s">
        <v>406</v>
      </c>
      <c r="E1" s="41" t="s">
        <v>21</v>
      </c>
      <c r="F1" s="41" t="s">
        <v>326</v>
      </c>
      <c r="G1" s="41" t="s">
        <v>9</v>
      </c>
      <c r="H1" s="41" t="s">
        <v>24</v>
      </c>
      <c r="I1" s="41" t="s">
        <v>10</v>
      </c>
      <c r="J1" s="41" t="s">
        <v>4</v>
      </c>
      <c r="K1" s="41" t="s">
        <v>5</v>
      </c>
      <c r="L1" s="41" t="s">
        <v>6</v>
      </c>
      <c r="M1" s="41" t="s">
        <v>71</v>
      </c>
      <c r="N1" s="41" t="s">
        <v>69</v>
      </c>
      <c r="O1" s="41" t="s">
        <v>70</v>
      </c>
      <c r="P1" s="41" t="s">
        <v>327</v>
      </c>
      <c r="Q1" s="41" t="s">
        <v>72</v>
      </c>
    </row>
    <row r="2" spans="1:23" x14ac:dyDescent="0.3">
      <c r="A2">
        <f>IF('tips dataset'!$A2="Male",1,0)</f>
        <v>0</v>
      </c>
      <c r="B2">
        <f>IF('tips dataset'!$A2="Female",1,0)</f>
        <v>1</v>
      </c>
      <c r="C2">
        <f>IF('tips dataset'!$B2="Yes",1,0)</f>
        <v>1</v>
      </c>
      <c r="D2">
        <f>IF('tips dataset'!$B2="No",1,0)</f>
        <v>0</v>
      </c>
      <c r="E2">
        <f>IF('tips dataset'!$C2="Sat",1,0)</f>
        <v>1</v>
      </c>
      <c r="F2">
        <f>IF('tips dataset'!$C2="fri",1,0)</f>
        <v>0</v>
      </c>
      <c r="G2">
        <f>IF('tips dataset'!$C2="Sun",1,0)</f>
        <v>0</v>
      </c>
      <c r="H2">
        <f>IF('tips dataset'!$D2="Lunch",1,0)</f>
        <v>0</v>
      </c>
      <c r="I2">
        <f>IF('tips dataset'!$D2="Dinner",1,0)</f>
        <v>1</v>
      </c>
      <c r="J2">
        <f>'tips dataset'!$E2</f>
        <v>1</v>
      </c>
      <c r="K2">
        <v>16.989999999999998</v>
      </c>
      <c r="L2">
        <v>1.01</v>
      </c>
      <c r="M2" s="12">
        <f>L2/K2</f>
        <v>5.9446733372572107E-2</v>
      </c>
      <c r="N2" s="11">
        <f>K2/J2</f>
        <v>16.989999999999998</v>
      </c>
      <c r="O2" s="11">
        <f>L2/J2</f>
        <v>1.01</v>
      </c>
      <c r="P2">
        <f>IF('tips dataset'!$C2="thur",1,0)</f>
        <v>0</v>
      </c>
      <c r="Q2" t="str">
        <f>IF(K2&lt;15,"Low",IF(K2&lt;25,"Medium",IF(K2&lt;35,"High","Premium")))</f>
        <v>Medium</v>
      </c>
    </row>
    <row r="3" spans="1:23" x14ac:dyDescent="0.3">
      <c r="A3">
        <f>IF('tips dataset'!$A3="Male",1,0)</f>
        <v>0</v>
      </c>
      <c r="B3">
        <f>IF('tips dataset'!$A3="Female",1,0)</f>
        <v>1</v>
      </c>
      <c r="C3">
        <f>IF('tips dataset'!$B3="Yes",1,0)</f>
        <v>1</v>
      </c>
      <c r="D3">
        <f>IF('tips dataset'!$B3="No",1,0)</f>
        <v>0</v>
      </c>
      <c r="E3">
        <f>IF('tips dataset'!$C3="Sat",1,0)</f>
        <v>0</v>
      </c>
      <c r="F3">
        <f>IF('tips dataset'!$C3="fri",1,0)</f>
        <v>1</v>
      </c>
      <c r="G3">
        <f>IF('tips dataset'!$C3="Sun",1,0)</f>
        <v>0</v>
      </c>
      <c r="H3">
        <f>IF('tips dataset'!$D3="Lunch",1,0)</f>
        <v>0</v>
      </c>
      <c r="I3">
        <f>IF('tips dataset'!$D3="Dinner",1,0)</f>
        <v>1</v>
      </c>
      <c r="J3">
        <f>'tips dataset'!$E3</f>
        <v>2</v>
      </c>
      <c r="K3">
        <v>10.34</v>
      </c>
      <c r="L3">
        <v>1.66</v>
      </c>
      <c r="M3" s="12">
        <f t="shared" ref="M3:M66" si="0">L3/K3</f>
        <v>0.16054158607350097</v>
      </c>
      <c r="N3" s="11">
        <f t="shared" ref="N3:N66" si="1">K3/J3</f>
        <v>5.17</v>
      </c>
      <c r="O3" s="11">
        <f t="shared" ref="O3:O66" si="2">L3/J3</f>
        <v>0.83</v>
      </c>
      <c r="P3">
        <f>IF('tips dataset'!$C3="thur",1,0)</f>
        <v>0</v>
      </c>
      <c r="Q3" t="str">
        <f t="shared" ref="Q3:Q66" si="3">IF(K3&lt;15,"Low",IF(K3&lt;25,"Medium",IF(K3&lt;35,"High","Premium")))</f>
        <v>Low</v>
      </c>
      <c r="V3" s="1" t="s">
        <v>12</v>
      </c>
      <c r="W3" s="1" t="s">
        <v>13</v>
      </c>
    </row>
    <row r="4" spans="1:23" x14ac:dyDescent="0.3">
      <c r="A4">
        <f>IF('tips dataset'!$A4="Male",1,0)</f>
        <v>0</v>
      </c>
      <c r="B4">
        <f>IF('tips dataset'!$A4="Female",1,0)</f>
        <v>1</v>
      </c>
      <c r="C4">
        <f>IF('tips dataset'!$B4="Yes",1,0)</f>
        <v>0</v>
      </c>
      <c r="D4">
        <f>IF('tips dataset'!$B4="No",1,0)</f>
        <v>1</v>
      </c>
      <c r="E4">
        <f>IF('tips dataset'!$C4="Sat",1,0)</f>
        <v>1</v>
      </c>
      <c r="F4">
        <f>IF('tips dataset'!$C4="fri",1,0)</f>
        <v>0</v>
      </c>
      <c r="G4">
        <f>IF('tips dataset'!$C4="Sun",1,0)</f>
        <v>0</v>
      </c>
      <c r="H4">
        <f>IF('tips dataset'!$D4="Lunch",1,0)</f>
        <v>0</v>
      </c>
      <c r="I4">
        <f>IF('tips dataset'!$D4="Dinner",1,0)</f>
        <v>1</v>
      </c>
      <c r="J4">
        <f>'tips dataset'!$E4</f>
        <v>1</v>
      </c>
      <c r="K4">
        <v>21.01</v>
      </c>
      <c r="L4">
        <v>3.5</v>
      </c>
      <c r="M4" s="12">
        <f t="shared" si="0"/>
        <v>0.16658733936220846</v>
      </c>
      <c r="N4" s="11">
        <f t="shared" si="1"/>
        <v>21.01</v>
      </c>
      <c r="O4" s="11">
        <f t="shared" si="2"/>
        <v>3.5</v>
      </c>
      <c r="P4">
        <f>IF('tips dataset'!$C4="thur",1,0)</f>
        <v>0</v>
      </c>
      <c r="Q4" t="str">
        <f t="shared" si="3"/>
        <v>Medium</v>
      </c>
      <c r="V4" s="1" t="s">
        <v>1</v>
      </c>
      <c r="W4" s="1" t="s">
        <v>14</v>
      </c>
    </row>
    <row r="5" spans="1:23" x14ac:dyDescent="0.3">
      <c r="A5">
        <f>IF('tips dataset'!$A5="Male",1,0)</f>
        <v>1</v>
      </c>
      <c r="B5">
        <f>IF('tips dataset'!$A5="Female",1,0)</f>
        <v>0</v>
      </c>
      <c r="C5">
        <f>IF('tips dataset'!$B5="Yes",1,0)</f>
        <v>1</v>
      </c>
      <c r="D5">
        <f>IF('tips dataset'!$B5="No",1,0)</f>
        <v>0</v>
      </c>
      <c r="E5">
        <f>IF('tips dataset'!$C5="Sat",1,0)</f>
        <v>0</v>
      </c>
      <c r="F5">
        <f>IF('tips dataset'!$C5="fri",1,0)</f>
        <v>0</v>
      </c>
      <c r="G5">
        <f>IF('tips dataset'!$C5="Sun",1,0)</f>
        <v>1</v>
      </c>
      <c r="H5">
        <f>IF('tips dataset'!$D5="Lunch",1,0)</f>
        <v>0</v>
      </c>
      <c r="I5">
        <f>IF('tips dataset'!$D5="Dinner",1,0)</f>
        <v>1</v>
      </c>
      <c r="J5">
        <f>'tips dataset'!$E5</f>
        <v>2</v>
      </c>
      <c r="K5">
        <v>23.68</v>
      </c>
      <c r="L5">
        <v>3.31</v>
      </c>
      <c r="M5" s="12">
        <f t="shared" si="0"/>
        <v>0.1397804054054054</v>
      </c>
      <c r="N5" s="11">
        <f t="shared" si="1"/>
        <v>11.84</v>
      </c>
      <c r="O5" s="11">
        <f t="shared" si="2"/>
        <v>1.655</v>
      </c>
      <c r="P5">
        <f>IF('tips dataset'!$C5="thur",1,0)</f>
        <v>0</v>
      </c>
      <c r="Q5" t="str">
        <f t="shared" si="3"/>
        <v>Medium</v>
      </c>
      <c r="V5" s="1" t="s">
        <v>2</v>
      </c>
      <c r="W5" s="1" t="s">
        <v>15</v>
      </c>
    </row>
    <row r="6" spans="1:23" x14ac:dyDescent="0.3">
      <c r="A6">
        <f>IF('tips dataset'!$A6="Male",1,0)</f>
        <v>1</v>
      </c>
      <c r="B6">
        <f>IF('tips dataset'!$A6="Female",1,0)</f>
        <v>0</v>
      </c>
      <c r="C6">
        <f>IF('tips dataset'!$B6="Yes",1,0)</f>
        <v>0</v>
      </c>
      <c r="D6">
        <f>IF('tips dataset'!$B6="No",1,0)</f>
        <v>1</v>
      </c>
      <c r="E6">
        <f>IF('tips dataset'!$C6="Sat",1,0)</f>
        <v>0</v>
      </c>
      <c r="F6">
        <f>IF('tips dataset'!$C6="fri",1,0)</f>
        <v>0</v>
      </c>
      <c r="G6">
        <f>IF('tips dataset'!$C6="Sun",1,0)</f>
        <v>0</v>
      </c>
      <c r="H6">
        <f>IF('tips dataset'!$D6="Lunch",1,0)</f>
        <v>1</v>
      </c>
      <c r="I6">
        <f>IF('tips dataset'!$D6="Dinner",1,0)</f>
        <v>0</v>
      </c>
      <c r="J6">
        <f>'tips dataset'!$E6</f>
        <v>2</v>
      </c>
      <c r="K6">
        <v>24.59</v>
      </c>
      <c r="L6">
        <v>3.61</v>
      </c>
      <c r="M6" s="12">
        <f t="shared" si="0"/>
        <v>0.14680764538430255</v>
      </c>
      <c r="N6" s="11">
        <f t="shared" si="1"/>
        <v>12.295</v>
      </c>
      <c r="O6" s="11">
        <f t="shared" si="2"/>
        <v>1.8049999999999999</v>
      </c>
      <c r="P6">
        <f>IF('tips dataset'!$C6="thur",1,0)</f>
        <v>1</v>
      </c>
      <c r="Q6" t="str">
        <f t="shared" si="3"/>
        <v>Medium</v>
      </c>
      <c r="V6" s="1" t="s">
        <v>3</v>
      </c>
      <c r="W6" s="1" t="s">
        <v>16</v>
      </c>
    </row>
    <row r="7" spans="1:23" x14ac:dyDescent="0.3">
      <c r="A7">
        <f>IF('tips dataset'!$A7="Male",1,0)</f>
        <v>1</v>
      </c>
      <c r="B7">
        <f>IF('tips dataset'!$A7="Female",1,0)</f>
        <v>0</v>
      </c>
      <c r="C7">
        <f>IF('tips dataset'!$B7="Yes",1,0)</f>
        <v>0</v>
      </c>
      <c r="D7">
        <f>IF('tips dataset'!$B7="No",1,0)</f>
        <v>1</v>
      </c>
      <c r="E7">
        <f>IF('tips dataset'!$C7="Sat",1,0)</f>
        <v>0</v>
      </c>
      <c r="F7">
        <f>IF('tips dataset'!$C7="fri",1,0)</f>
        <v>0</v>
      </c>
      <c r="G7">
        <f>IF('tips dataset'!$C7="Sun",1,0)</f>
        <v>0</v>
      </c>
      <c r="H7">
        <f>IF('tips dataset'!$D7="Lunch",1,0)</f>
        <v>1</v>
      </c>
      <c r="I7">
        <f>IF('tips dataset'!$D7="Dinner",1,0)</f>
        <v>0</v>
      </c>
      <c r="J7">
        <f>'tips dataset'!$E7</f>
        <v>2</v>
      </c>
      <c r="K7">
        <v>25.29</v>
      </c>
      <c r="L7">
        <v>4.71</v>
      </c>
      <c r="M7" s="12">
        <f t="shared" si="0"/>
        <v>0.18623962040332148</v>
      </c>
      <c r="N7" s="11">
        <f t="shared" si="1"/>
        <v>12.645</v>
      </c>
      <c r="O7" s="11">
        <f t="shared" si="2"/>
        <v>2.355</v>
      </c>
      <c r="P7">
        <f>IF('tips dataset'!$C7="thur",1,0)</f>
        <v>1</v>
      </c>
      <c r="Q7" t="str">
        <f t="shared" si="3"/>
        <v>High</v>
      </c>
      <c r="V7" s="1" t="s">
        <v>4</v>
      </c>
      <c r="W7" s="1" t="s">
        <v>17</v>
      </c>
    </row>
    <row r="8" spans="1:23" x14ac:dyDescent="0.3">
      <c r="A8">
        <f>IF('tips dataset'!$A8="Male",1,0)</f>
        <v>1</v>
      </c>
      <c r="B8">
        <f>IF('tips dataset'!$A8="Female",1,0)</f>
        <v>0</v>
      </c>
      <c r="C8">
        <f>IF('tips dataset'!$B8="Yes",1,0)</f>
        <v>1</v>
      </c>
      <c r="D8">
        <f>IF('tips dataset'!$B8="No",1,0)</f>
        <v>0</v>
      </c>
      <c r="E8">
        <f>IF('tips dataset'!$C8="Sat",1,0)</f>
        <v>1</v>
      </c>
      <c r="F8">
        <f>IF('tips dataset'!$C8="fri",1,0)</f>
        <v>0</v>
      </c>
      <c r="G8">
        <f>IF('tips dataset'!$C8="Sun",1,0)</f>
        <v>0</v>
      </c>
      <c r="H8">
        <f>IF('tips dataset'!$D8="Lunch",1,0)</f>
        <v>0</v>
      </c>
      <c r="I8">
        <f>IF('tips dataset'!$D8="Dinner",1,0)</f>
        <v>1</v>
      </c>
      <c r="J8">
        <f>'tips dataset'!$E8</f>
        <v>2</v>
      </c>
      <c r="K8">
        <v>8.77</v>
      </c>
      <c r="L8">
        <v>2</v>
      </c>
      <c r="M8" s="12">
        <f t="shared" si="0"/>
        <v>0.22805017103762829</v>
      </c>
      <c r="N8" s="11">
        <f t="shared" si="1"/>
        <v>4.3849999999999998</v>
      </c>
      <c r="O8" s="11">
        <f t="shared" si="2"/>
        <v>1</v>
      </c>
      <c r="P8">
        <f>IF('tips dataset'!$C8="thur",1,0)</f>
        <v>0</v>
      </c>
      <c r="Q8" t="str">
        <f t="shared" si="3"/>
        <v>Low</v>
      </c>
      <c r="V8" s="1" t="s">
        <v>18</v>
      </c>
      <c r="W8" s="1" t="s">
        <v>19</v>
      </c>
    </row>
    <row r="9" spans="1:23" x14ac:dyDescent="0.3">
      <c r="A9">
        <f>IF('tips dataset'!$A9="Male",1,0)</f>
        <v>0</v>
      </c>
      <c r="B9">
        <f>IF('tips dataset'!$A9="Female",1,0)</f>
        <v>1</v>
      </c>
      <c r="C9">
        <f>IF('tips dataset'!$B9="Yes",1,0)</f>
        <v>0</v>
      </c>
      <c r="D9">
        <f>IF('tips dataset'!$B9="No",1,0)</f>
        <v>1</v>
      </c>
      <c r="E9">
        <f>IF('tips dataset'!$C9="Sat",1,0)</f>
        <v>0</v>
      </c>
      <c r="F9">
        <f>IF('tips dataset'!$C9="fri",1,0)</f>
        <v>0</v>
      </c>
      <c r="G9">
        <f>IF('tips dataset'!$C9="Sun",1,0)</f>
        <v>0</v>
      </c>
      <c r="H9">
        <f>IF('tips dataset'!$D9="Lunch",1,0)</f>
        <v>1</v>
      </c>
      <c r="I9">
        <f>IF('tips dataset'!$D9="Dinner",1,0)</f>
        <v>0</v>
      </c>
      <c r="J9">
        <f>'tips dataset'!$E9</f>
        <v>2</v>
      </c>
      <c r="K9">
        <v>26.88</v>
      </c>
      <c r="L9">
        <v>3.12</v>
      </c>
      <c r="M9" s="12">
        <f t="shared" si="0"/>
        <v>0.11607142857142858</v>
      </c>
      <c r="N9" s="11">
        <f t="shared" si="1"/>
        <v>13.44</v>
      </c>
      <c r="O9" s="11">
        <f t="shared" si="2"/>
        <v>1.56</v>
      </c>
      <c r="P9">
        <f>IF('tips dataset'!$C9="thur",1,0)</f>
        <v>1</v>
      </c>
      <c r="Q9" t="str">
        <f t="shared" si="3"/>
        <v>High</v>
      </c>
      <c r="V9" s="1" t="s">
        <v>6</v>
      </c>
      <c r="W9" s="1" t="s">
        <v>20</v>
      </c>
    </row>
    <row r="10" spans="1:23" x14ac:dyDescent="0.3">
      <c r="A10">
        <f>IF('tips dataset'!$A10="Male",1,0)</f>
        <v>0</v>
      </c>
      <c r="B10">
        <f>IF('tips dataset'!$A10="Female",1,0)</f>
        <v>1</v>
      </c>
      <c r="C10">
        <f>IF('tips dataset'!$B10="Yes",1,0)</f>
        <v>0</v>
      </c>
      <c r="D10">
        <f>IF('tips dataset'!$B10="No",1,0)</f>
        <v>1</v>
      </c>
      <c r="E10">
        <f>IF('tips dataset'!$C10="Sat",1,0)</f>
        <v>0</v>
      </c>
      <c r="F10">
        <f>IF('tips dataset'!$C10="fri",1,0)</f>
        <v>0</v>
      </c>
      <c r="G10">
        <f>IF('tips dataset'!$C10="Sun",1,0)</f>
        <v>0</v>
      </c>
      <c r="H10">
        <f>IF('tips dataset'!$D10="Lunch",1,0)</f>
        <v>1</v>
      </c>
      <c r="I10">
        <f>IF('tips dataset'!$D10="Dinner",1,0)</f>
        <v>0</v>
      </c>
      <c r="J10">
        <f>'tips dataset'!$E10</f>
        <v>2</v>
      </c>
      <c r="K10">
        <v>15.04</v>
      </c>
      <c r="L10">
        <v>1.96</v>
      </c>
      <c r="M10" s="12">
        <f t="shared" si="0"/>
        <v>0.13031914893617022</v>
      </c>
      <c r="N10" s="11">
        <f t="shared" si="1"/>
        <v>7.52</v>
      </c>
      <c r="O10" s="11">
        <f t="shared" si="2"/>
        <v>0.98</v>
      </c>
      <c r="P10">
        <f>IF('tips dataset'!$C10="thur",1,0)</f>
        <v>1</v>
      </c>
      <c r="Q10" t="str">
        <f t="shared" si="3"/>
        <v>Medium</v>
      </c>
      <c r="V10" s="44" t="s">
        <v>414</v>
      </c>
      <c r="W10" s="44" t="s">
        <v>413</v>
      </c>
    </row>
    <row r="11" spans="1:23" x14ac:dyDescent="0.3">
      <c r="A11">
        <f>IF('tips dataset'!$A11="Male",1,0)</f>
        <v>1</v>
      </c>
      <c r="B11">
        <f>IF('tips dataset'!$A11="Female",1,0)</f>
        <v>0</v>
      </c>
      <c r="C11">
        <f>IF('tips dataset'!$B11="Yes",1,0)</f>
        <v>0</v>
      </c>
      <c r="D11">
        <f>IF('tips dataset'!$B11="No",1,0)</f>
        <v>1</v>
      </c>
      <c r="E11">
        <f>IF('tips dataset'!$C11="Sat",1,0)</f>
        <v>0</v>
      </c>
      <c r="F11">
        <f>IF('tips dataset'!$C11="fri",1,0)</f>
        <v>0</v>
      </c>
      <c r="G11">
        <f>IF('tips dataset'!$C11="Sun",1,0)</f>
        <v>0</v>
      </c>
      <c r="H11">
        <f>IF('tips dataset'!$D11="Lunch",1,0)</f>
        <v>1</v>
      </c>
      <c r="I11">
        <f>IF('tips dataset'!$D11="Dinner",1,0)</f>
        <v>0</v>
      </c>
      <c r="J11">
        <f>'tips dataset'!$E11</f>
        <v>2</v>
      </c>
      <c r="K11">
        <v>14.78</v>
      </c>
      <c r="L11">
        <v>3.23</v>
      </c>
      <c r="M11" s="12">
        <f t="shared" si="0"/>
        <v>0.21853856562922869</v>
      </c>
      <c r="N11" s="11">
        <f t="shared" si="1"/>
        <v>7.39</v>
      </c>
      <c r="O11" s="11">
        <f t="shared" si="2"/>
        <v>1.615</v>
      </c>
      <c r="P11">
        <f>IF('tips dataset'!$C11="thur",1,0)</f>
        <v>1</v>
      </c>
      <c r="Q11" t="str">
        <f t="shared" si="3"/>
        <v>Low</v>
      </c>
      <c r="V11" s="44" t="s">
        <v>415</v>
      </c>
      <c r="W11" s="44" t="s">
        <v>416</v>
      </c>
    </row>
    <row r="12" spans="1:23" x14ac:dyDescent="0.3">
      <c r="A12">
        <f>IF('tips dataset'!$A12="Male",1,0)</f>
        <v>1</v>
      </c>
      <c r="B12">
        <f>IF('tips dataset'!$A12="Female",1,0)</f>
        <v>0</v>
      </c>
      <c r="C12">
        <f>IF('tips dataset'!$B12="Yes",1,0)</f>
        <v>1</v>
      </c>
      <c r="D12">
        <f>IF('tips dataset'!$B12="No",1,0)</f>
        <v>0</v>
      </c>
      <c r="E12">
        <f>IF('tips dataset'!$C12="Sat",1,0)</f>
        <v>0</v>
      </c>
      <c r="F12">
        <f>IF('tips dataset'!$C12="fri",1,0)</f>
        <v>1</v>
      </c>
      <c r="G12">
        <f>IF('tips dataset'!$C12="Sun",1,0)</f>
        <v>0</v>
      </c>
      <c r="H12">
        <f>IF('tips dataset'!$D12="Lunch",1,0)</f>
        <v>1</v>
      </c>
      <c r="I12">
        <f>IF('tips dataset'!$D12="Dinner",1,0)</f>
        <v>0</v>
      </c>
      <c r="J12">
        <f>'tips dataset'!$E12</f>
        <v>1</v>
      </c>
      <c r="K12">
        <v>10.27</v>
      </c>
      <c r="L12">
        <v>1.71</v>
      </c>
      <c r="M12" s="12">
        <f t="shared" si="0"/>
        <v>0.1665043816942551</v>
      </c>
      <c r="N12" s="11">
        <f t="shared" si="1"/>
        <v>10.27</v>
      </c>
      <c r="O12" s="11">
        <f t="shared" si="2"/>
        <v>1.71</v>
      </c>
      <c r="P12">
        <f>IF('tips dataset'!$C12="thur",1,0)</f>
        <v>0</v>
      </c>
      <c r="Q12" t="str">
        <f t="shared" si="3"/>
        <v>Low</v>
      </c>
      <c r="V12" s="44" t="s">
        <v>417</v>
      </c>
      <c r="W12" s="44" t="s">
        <v>418</v>
      </c>
    </row>
    <row r="13" spans="1:23" x14ac:dyDescent="0.3">
      <c r="A13">
        <f>IF('tips dataset'!$A13="Male",1,0)</f>
        <v>1</v>
      </c>
      <c r="B13">
        <f>IF('tips dataset'!$A13="Female",1,0)</f>
        <v>0</v>
      </c>
      <c r="C13">
        <f>IF('tips dataset'!$B13="Yes",1,0)</f>
        <v>0</v>
      </c>
      <c r="D13">
        <f>IF('tips dataset'!$B13="No",1,0)</f>
        <v>1</v>
      </c>
      <c r="E13">
        <f>IF('tips dataset'!$C13="Sat",1,0)</f>
        <v>0</v>
      </c>
      <c r="F13">
        <f>IF('tips dataset'!$C13="fri",1,0)</f>
        <v>0</v>
      </c>
      <c r="G13">
        <f>IF('tips dataset'!$C13="Sun",1,0)</f>
        <v>1</v>
      </c>
      <c r="H13">
        <f>IF('tips dataset'!$D13="Lunch",1,0)</f>
        <v>0</v>
      </c>
      <c r="I13">
        <f>IF('tips dataset'!$D13="Dinner",1,0)</f>
        <v>1</v>
      </c>
      <c r="J13">
        <f>'tips dataset'!$E13</f>
        <v>2</v>
      </c>
      <c r="K13">
        <v>35.26</v>
      </c>
      <c r="L13">
        <v>5</v>
      </c>
      <c r="M13" s="12">
        <f t="shared" si="0"/>
        <v>0.14180374361883155</v>
      </c>
      <c r="N13" s="11">
        <f t="shared" si="1"/>
        <v>17.63</v>
      </c>
      <c r="O13" s="11">
        <f t="shared" si="2"/>
        <v>2.5</v>
      </c>
      <c r="P13">
        <f>IF('tips dataset'!$C13="thur",1,0)</f>
        <v>0</v>
      </c>
      <c r="Q13" t="str">
        <f t="shared" si="3"/>
        <v>Premium</v>
      </c>
    </row>
    <row r="14" spans="1:23" x14ac:dyDescent="0.3">
      <c r="A14">
        <f>IF('tips dataset'!$A14="Male",1,0)</f>
        <v>1</v>
      </c>
      <c r="B14">
        <f>IF('tips dataset'!$A14="Female",1,0)</f>
        <v>0</v>
      </c>
      <c r="C14">
        <f>IF('tips dataset'!$B14="Yes",1,0)</f>
        <v>0</v>
      </c>
      <c r="D14">
        <f>IF('tips dataset'!$B14="No",1,0)</f>
        <v>1</v>
      </c>
      <c r="E14">
        <f>IF('tips dataset'!$C14="Sat",1,0)</f>
        <v>1</v>
      </c>
      <c r="F14">
        <f>IF('tips dataset'!$C14="fri",1,0)</f>
        <v>0</v>
      </c>
      <c r="G14">
        <f>IF('tips dataset'!$C14="Sun",1,0)</f>
        <v>0</v>
      </c>
      <c r="H14">
        <f>IF('tips dataset'!$D14="Lunch",1,0)</f>
        <v>0</v>
      </c>
      <c r="I14">
        <f>IF('tips dataset'!$D14="Dinner",1,0)</f>
        <v>1</v>
      </c>
      <c r="J14">
        <f>'tips dataset'!$E14</f>
        <v>2</v>
      </c>
      <c r="K14">
        <v>15.42</v>
      </c>
      <c r="L14">
        <v>1.57</v>
      </c>
      <c r="M14" s="12">
        <f t="shared" si="0"/>
        <v>0.10181582360570687</v>
      </c>
      <c r="N14" s="11">
        <f t="shared" si="1"/>
        <v>7.71</v>
      </c>
      <c r="O14" s="11">
        <f t="shared" si="2"/>
        <v>0.78500000000000003</v>
      </c>
      <c r="P14">
        <f>IF('tips dataset'!$C14="thur",1,0)</f>
        <v>0</v>
      </c>
      <c r="Q14" t="str">
        <f t="shared" si="3"/>
        <v>Medium</v>
      </c>
    </row>
    <row r="15" spans="1:23" x14ac:dyDescent="0.3">
      <c r="A15">
        <f>IF('tips dataset'!$A15="Male",1,0)</f>
        <v>0</v>
      </c>
      <c r="B15">
        <f>IF('tips dataset'!$A15="Female",1,0)</f>
        <v>1</v>
      </c>
      <c r="C15">
        <f>IF('tips dataset'!$B15="Yes",1,0)</f>
        <v>1</v>
      </c>
      <c r="D15">
        <f>IF('tips dataset'!$B15="No",1,0)</f>
        <v>0</v>
      </c>
      <c r="E15">
        <f>IF('tips dataset'!$C15="Sat",1,0)</f>
        <v>0</v>
      </c>
      <c r="F15">
        <f>IF('tips dataset'!$C15="fri",1,0)</f>
        <v>0</v>
      </c>
      <c r="G15">
        <f>IF('tips dataset'!$C15="Sun",1,0)</f>
        <v>1</v>
      </c>
      <c r="H15">
        <f>IF('tips dataset'!$D15="Lunch",1,0)</f>
        <v>0</v>
      </c>
      <c r="I15">
        <f>IF('tips dataset'!$D15="Dinner",1,0)</f>
        <v>1</v>
      </c>
      <c r="J15">
        <f>'tips dataset'!$E15</f>
        <v>2</v>
      </c>
      <c r="K15">
        <v>18.43</v>
      </c>
      <c r="L15">
        <v>3</v>
      </c>
      <c r="M15" s="12">
        <f t="shared" si="0"/>
        <v>0.16277807921866522</v>
      </c>
      <c r="N15" s="11">
        <f t="shared" si="1"/>
        <v>9.2149999999999999</v>
      </c>
      <c r="O15" s="11">
        <f t="shared" si="2"/>
        <v>1.5</v>
      </c>
      <c r="P15">
        <f>IF('tips dataset'!$C15="thur",1,0)</f>
        <v>0</v>
      </c>
      <c r="Q15" t="str">
        <f t="shared" si="3"/>
        <v>Medium</v>
      </c>
    </row>
    <row r="16" spans="1:23" x14ac:dyDescent="0.3">
      <c r="A16">
        <f>IF('tips dataset'!$A16="Male",1,0)</f>
        <v>1</v>
      </c>
      <c r="B16">
        <f>IF('tips dataset'!$A16="Female",1,0)</f>
        <v>0</v>
      </c>
      <c r="C16">
        <f>IF('tips dataset'!$B16="Yes",1,0)</f>
        <v>0</v>
      </c>
      <c r="D16">
        <f>IF('tips dataset'!$B16="No",1,0)</f>
        <v>1</v>
      </c>
      <c r="E16">
        <f>IF('tips dataset'!$C16="Sat",1,0)</f>
        <v>0</v>
      </c>
      <c r="F16">
        <f>IF('tips dataset'!$C16="fri",1,0)</f>
        <v>0</v>
      </c>
      <c r="G16">
        <f>IF('tips dataset'!$C16="Sun",1,0)</f>
        <v>1</v>
      </c>
      <c r="H16">
        <f>IF('tips dataset'!$D16="Lunch",1,0)</f>
        <v>0</v>
      </c>
      <c r="I16">
        <f>IF('tips dataset'!$D16="Dinner",1,0)</f>
        <v>1</v>
      </c>
      <c r="J16">
        <f>'tips dataset'!$E16</f>
        <v>2</v>
      </c>
      <c r="K16">
        <v>14.83</v>
      </c>
      <c r="L16">
        <v>3.02</v>
      </c>
      <c r="M16" s="12">
        <f t="shared" si="0"/>
        <v>0.20364126770060686</v>
      </c>
      <c r="N16" s="11">
        <f t="shared" si="1"/>
        <v>7.415</v>
      </c>
      <c r="O16" s="11">
        <f t="shared" si="2"/>
        <v>1.51</v>
      </c>
      <c r="P16">
        <f>IF('tips dataset'!$C16="thur",1,0)</f>
        <v>0</v>
      </c>
      <c r="Q16" t="str">
        <f t="shared" si="3"/>
        <v>Low</v>
      </c>
    </row>
    <row r="17" spans="1:17" x14ac:dyDescent="0.3">
      <c r="A17">
        <f>IF('tips dataset'!$A17="Male",1,0)</f>
        <v>1</v>
      </c>
      <c r="B17">
        <f>IF('tips dataset'!$A17="Female",1,0)</f>
        <v>0</v>
      </c>
      <c r="C17">
        <f>IF('tips dataset'!$B17="Yes",1,0)</f>
        <v>0</v>
      </c>
      <c r="D17">
        <f>IF('tips dataset'!$B17="No",1,0)</f>
        <v>1</v>
      </c>
      <c r="E17">
        <f>IF('tips dataset'!$C17="Sat",1,0)</f>
        <v>0</v>
      </c>
      <c r="F17">
        <f>IF('tips dataset'!$C17="fri",1,0)</f>
        <v>0</v>
      </c>
      <c r="G17">
        <f>IF('tips dataset'!$C17="Sun",1,0)</f>
        <v>0</v>
      </c>
      <c r="H17">
        <f>IF('tips dataset'!$D17="Lunch",1,0)</f>
        <v>1</v>
      </c>
      <c r="I17">
        <f>IF('tips dataset'!$D17="Dinner",1,0)</f>
        <v>0</v>
      </c>
      <c r="J17">
        <f>'tips dataset'!$E17</f>
        <v>2</v>
      </c>
      <c r="K17">
        <v>21.58</v>
      </c>
      <c r="L17">
        <v>3.92</v>
      </c>
      <c r="M17" s="12">
        <f t="shared" si="0"/>
        <v>0.18164967562557924</v>
      </c>
      <c r="N17" s="11">
        <f t="shared" si="1"/>
        <v>10.79</v>
      </c>
      <c r="O17" s="11">
        <f t="shared" si="2"/>
        <v>1.96</v>
      </c>
      <c r="P17">
        <f>IF('tips dataset'!$C17="thur",1,0)</f>
        <v>1</v>
      </c>
      <c r="Q17" t="str">
        <f t="shared" si="3"/>
        <v>Medium</v>
      </c>
    </row>
    <row r="18" spans="1:17" x14ac:dyDescent="0.3">
      <c r="A18">
        <f>IF('tips dataset'!$A18="Male",1,0)</f>
        <v>1</v>
      </c>
      <c r="B18">
        <f>IF('tips dataset'!$A18="Female",1,0)</f>
        <v>0</v>
      </c>
      <c r="C18">
        <f>IF('tips dataset'!$B18="Yes",1,0)</f>
        <v>0</v>
      </c>
      <c r="D18">
        <f>IF('tips dataset'!$B18="No",1,0)</f>
        <v>1</v>
      </c>
      <c r="E18">
        <f>IF('tips dataset'!$C18="Sat",1,0)</f>
        <v>0</v>
      </c>
      <c r="F18">
        <f>IF('tips dataset'!$C18="fri",1,0)</f>
        <v>0</v>
      </c>
      <c r="G18">
        <f>IF('tips dataset'!$C18="Sun",1,0)</f>
        <v>1</v>
      </c>
      <c r="H18">
        <f>IF('tips dataset'!$D18="Lunch",1,0)</f>
        <v>0</v>
      </c>
      <c r="I18">
        <f>IF('tips dataset'!$D18="Dinner",1,0)</f>
        <v>1</v>
      </c>
      <c r="J18">
        <f>'tips dataset'!$E18</f>
        <v>2</v>
      </c>
      <c r="K18">
        <v>10.33</v>
      </c>
      <c r="L18">
        <v>1.67</v>
      </c>
      <c r="M18" s="12">
        <f t="shared" si="0"/>
        <v>0.16166505324298161</v>
      </c>
      <c r="N18" s="11">
        <f t="shared" si="1"/>
        <v>5.165</v>
      </c>
      <c r="O18" s="11">
        <f t="shared" si="2"/>
        <v>0.83499999999999996</v>
      </c>
      <c r="P18">
        <f>IF('tips dataset'!$C18="thur",1,0)</f>
        <v>0</v>
      </c>
      <c r="Q18" t="str">
        <f t="shared" si="3"/>
        <v>Low</v>
      </c>
    </row>
    <row r="19" spans="1:17" x14ac:dyDescent="0.3">
      <c r="A19">
        <f>IF('tips dataset'!$A19="Male",1,0)</f>
        <v>0</v>
      </c>
      <c r="B19">
        <f>IF('tips dataset'!$A19="Female",1,0)</f>
        <v>1</v>
      </c>
      <c r="C19">
        <f>IF('tips dataset'!$B19="Yes",1,0)</f>
        <v>0</v>
      </c>
      <c r="D19">
        <f>IF('tips dataset'!$B19="No",1,0)</f>
        <v>1</v>
      </c>
      <c r="E19">
        <f>IF('tips dataset'!$C19="Sat",1,0)</f>
        <v>0</v>
      </c>
      <c r="F19">
        <f>IF('tips dataset'!$C19="fri",1,0)</f>
        <v>0</v>
      </c>
      <c r="G19">
        <f>IF('tips dataset'!$C19="Sun",1,0)</f>
        <v>0</v>
      </c>
      <c r="H19">
        <f>IF('tips dataset'!$D19="Lunch",1,0)</f>
        <v>1</v>
      </c>
      <c r="I19">
        <f>IF('tips dataset'!$D19="Dinner",1,0)</f>
        <v>0</v>
      </c>
      <c r="J19">
        <f>'tips dataset'!$E19</f>
        <v>1</v>
      </c>
      <c r="K19">
        <v>16.29</v>
      </c>
      <c r="L19">
        <v>3.71</v>
      </c>
      <c r="M19" s="12">
        <f t="shared" si="0"/>
        <v>0.22774708410067526</v>
      </c>
      <c r="N19" s="11">
        <f t="shared" si="1"/>
        <v>16.29</v>
      </c>
      <c r="O19" s="11">
        <f t="shared" si="2"/>
        <v>3.71</v>
      </c>
      <c r="P19">
        <f>IF('tips dataset'!$C19="thur",1,0)</f>
        <v>1</v>
      </c>
      <c r="Q19" t="str">
        <f t="shared" si="3"/>
        <v>Medium</v>
      </c>
    </row>
    <row r="20" spans="1:17" x14ac:dyDescent="0.3">
      <c r="A20">
        <f>IF('tips dataset'!$A20="Male",1,0)</f>
        <v>1</v>
      </c>
      <c r="B20">
        <f>IF('tips dataset'!$A20="Female",1,0)</f>
        <v>0</v>
      </c>
      <c r="C20">
        <f>IF('tips dataset'!$B20="Yes",1,0)</f>
        <v>0</v>
      </c>
      <c r="D20">
        <f>IF('tips dataset'!$B20="No",1,0)</f>
        <v>1</v>
      </c>
      <c r="E20">
        <f>IF('tips dataset'!$C20="Sat",1,0)</f>
        <v>1</v>
      </c>
      <c r="F20">
        <f>IF('tips dataset'!$C20="fri",1,0)</f>
        <v>0</v>
      </c>
      <c r="G20">
        <f>IF('tips dataset'!$C20="Sun",1,0)</f>
        <v>0</v>
      </c>
      <c r="H20">
        <f>IF('tips dataset'!$D20="Lunch",1,0)</f>
        <v>0</v>
      </c>
      <c r="I20">
        <f>IF('tips dataset'!$D20="Dinner",1,0)</f>
        <v>1</v>
      </c>
      <c r="J20">
        <f>'tips dataset'!$E20</f>
        <v>2</v>
      </c>
      <c r="K20">
        <v>16.97</v>
      </c>
      <c r="L20">
        <v>3.5</v>
      </c>
      <c r="M20" s="12">
        <f t="shared" si="0"/>
        <v>0.20624631703005306</v>
      </c>
      <c r="N20" s="11">
        <f t="shared" si="1"/>
        <v>8.4849999999999994</v>
      </c>
      <c r="O20" s="11">
        <f t="shared" si="2"/>
        <v>1.75</v>
      </c>
      <c r="P20">
        <f>IF('tips dataset'!$C20="thur",1,0)</f>
        <v>0</v>
      </c>
      <c r="Q20" t="str">
        <f t="shared" si="3"/>
        <v>Medium</v>
      </c>
    </row>
    <row r="21" spans="1:17" x14ac:dyDescent="0.3">
      <c r="A21">
        <f>IF('tips dataset'!$A21="Male",1,0)</f>
        <v>0</v>
      </c>
      <c r="B21">
        <f>IF('tips dataset'!$A21="Female",1,0)</f>
        <v>1</v>
      </c>
      <c r="C21">
        <f>IF('tips dataset'!$B21="Yes",1,0)</f>
        <v>1</v>
      </c>
      <c r="D21">
        <f>IF('tips dataset'!$B21="No",1,0)</f>
        <v>0</v>
      </c>
      <c r="E21">
        <f>IF('tips dataset'!$C21="Sat",1,0)</f>
        <v>0</v>
      </c>
      <c r="F21">
        <f>IF('tips dataset'!$C21="fri",1,0)</f>
        <v>1</v>
      </c>
      <c r="G21">
        <f>IF('tips dataset'!$C21="Sun",1,0)</f>
        <v>0</v>
      </c>
      <c r="H21">
        <f>IF('tips dataset'!$D21="Lunch",1,0)</f>
        <v>1</v>
      </c>
      <c r="I21">
        <f>IF('tips dataset'!$D21="Dinner",1,0)</f>
        <v>0</v>
      </c>
      <c r="J21">
        <f>'tips dataset'!$E21</f>
        <v>2</v>
      </c>
      <c r="K21">
        <v>20.65</v>
      </c>
      <c r="L21">
        <v>3.35</v>
      </c>
      <c r="M21" s="12">
        <f t="shared" si="0"/>
        <v>0.16222760290556903</v>
      </c>
      <c r="N21" s="11">
        <f t="shared" si="1"/>
        <v>10.324999999999999</v>
      </c>
      <c r="O21" s="11">
        <f t="shared" si="2"/>
        <v>1.675</v>
      </c>
      <c r="P21">
        <f>IF('tips dataset'!$C21="thur",1,0)</f>
        <v>0</v>
      </c>
      <c r="Q21" t="str">
        <f t="shared" si="3"/>
        <v>Medium</v>
      </c>
    </row>
    <row r="22" spans="1:17" x14ac:dyDescent="0.3">
      <c r="A22">
        <f>IF('tips dataset'!$A22="Male",1,0)</f>
        <v>1</v>
      </c>
      <c r="B22">
        <f>IF('tips dataset'!$A22="Female",1,0)</f>
        <v>0</v>
      </c>
      <c r="C22">
        <f>IF('tips dataset'!$B22="Yes",1,0)</f>
        <v>0</v>
      </c>
      <c r="D22">
        <f>IF('tips dataset'!$B22="No",1,0)</f>
        <v>1</v>
      </c>
      <c r="E22">
        <f>IF('tips dataset'!$C22="Sat",1,0)</f>
        <v>0</v>
      </c>
      <c r="F22">
        <f>IF('tips dataset'!$C22="fri",1,0)</f>
        <v>0</v>
      </c>
      <c r="G22">
        <f>IF('tips dataset'!$C22="Sun",1,0)</f>
        <v>1</v>
      </c>
      <c r="H22">
        <f>IF('tips dataset'!$D22="Lunch",1,0)</f>
        <v>0</v>
      </c>
      <c r="I22">
        <f>IF('tips dataset'!$D22="Dinner",1,0)</f>
        <v>1</v>
      </c>
      <c r="J22">
        <f>'tips dataset'!$E22</f>
        <v>2</v>
      </c>
      <c r="K22">
        <v>17.920000000000002</v>
      </c>
      <c r="L22">
        <v>4.08</v>
      </c>
      <c r="M22" s="12">
        <f t="shared" si="0"/>
        <v>0.22767857142857142</v>
      </c>
      <c r="N22" s="11">
        <f t="shared" si="1"/>
        <v>8.9600000000000009</v>
      </c>
      <c r="O22" s="11">
        <f t="shared" si="2"/>
        <v>2.04</v>
      </c>
      <c r="P22">
        <f>IF('tips dataset'!$C22="thur",1,0)</f>
        <v>0</v>
      </c>
      <c r="Q22" t="str">
        <f t="shared" si="3"/>
        <v>Medium</v>
      </c>
    </row>
    <row r="23" spans="1:17" x14ac:dyDescent="0.3">
      <c r="A23">
        <f>IF('tips dataset'!$A23="Male",1,0)</f>
        <v>0</v>
      </c>
      <c r="B23">
        <f>IF('tips dataset'!$A23="Female",1,0)</f>
        <v>1</v>
      </c>
      <c r="C23">
        <f>IF('tips dataset'!$B23="Yes",1,0)</f>
        <v>0</v>
      </c>
      <c r="D23">
        <f>IF('tips dataset'!$B23="No",1,0)</f>
        <v>1</v>
      </c>
      <c r="E23">
        <f>IF('tips dataset'!$C23="Sat",1,0)</f>
        <v>0</v>
      </c>
      <c r="F23">
        <f>IF('tips dataset'!$C23="fri",1,0)</f>
        <v>0</v>
      </c>
      <c r="G23">
        <f>IF('tips dataset'!$C23="Sun",1,0)</f>
        <v>1</v>
      </c>
      <c r="H23">
        <f>IF('tips dataset'!$D23="Lunch",1,0)</f>
        <v>0</v>
      </c>
      <c r="I23">
        <f>IF('tips dataset'!$D23="Dinner",1,0)</f>
        <v>1</v>
      </c>
      <c r="J23">
        <f>'tips dataset'!$E23</f>
        <v>2</v>
      </c>
      <c r="K23">
        <v>20.29</v>
      </c>
      <c r="L23">
        <v>2.75</v>
      </c>
      <c r="M23" s="12">
        <f t="shared" si="0"/>
        <v>0.13553474618038444</v>
      </c>
      <c r="N23" s="11">
        <f t="shared" si="1"/>
        <v>10.145</v>
      </c>
      <c r="O23" s="11">
        <f t="shared" si="2"/>
        <v>1.375</v>
      </c>
      <c r="P23">
        <f>IF('tips dataset'!$C23="thur",1,0)</f>
        <v>0</v>
      </c>
      <c r="Q23" t="str">
        <f t="shared" si="3"/>
        <v>Medium</v>
      </c>
    </row>
    <row r="24" spans="1:17" x14ac:dyDescent="0.3">
      <c r="A24">
        <f>IF('tips dataset'!$A24="Male",1,0)</f>
        <v>0</v>
      </c>
      <c r="B24">
        <f>IF('tips dataset'!$A24="Female",1,0)</f>
        <v>1</v>
      </c>
      <c r="C24">
        <f>IF('tips dataset'!$B24="Yes",1,0)</f>
        <v>0</v>
      </c>
      <c r="D24">
        <f>IF('tips dataset'!$B24="No",1,0)</f>
        <v>1</v>
      </c>
      <c r="E24">
        <f>IF('tips dataset'!$C24="Sat",1,0)</f>
        <v>0</v>
      </c>
      <c r="F24">
        <f>IF('tips dataset'!$C24="fri",1,0)</f>
        <v>0</v>
      </c>
      <c r="G24">
        <f>IF('tips dataset'!$C24="Sun",1,0)</f>
        <v>1</v>
      </c>
      <c r="H24">
        <f>IF('tips dataset'!$D24="Lunch",1,0)</f>
        <v>0</v>
      </c>
      <c r="I24">
        <f>IF('tips dataset'!$D24="Dinner",1,0)</f>
        <v>1</v>
      </c>
      <c r="J24">
        <f>'tips dataset'!$E24</f>
        <v>3</v>
      </c>
      <c r="K24">
        <v>15.77</v>
      </c>
      <c r="L24">
        <v>2.23</v>
      </c>
      <c r="M24" s="12">
        <f t="shared" si="0"/>
        <v>0.14140773620798985</v>
      </c>
      <c r="N24" s="11">
        <f t="shared" si="1"/>
        <v>5.2566666666666668</v>
      </c>
      <c r="O24" s="11">
        <f t="shared" si="2"/>
        <v>0.74333333333333329</v>
      </c>
      <c r="P24">
        <f>IF('tips dataset'!$C24="thur",1,0)</f>
        <v>0</v>
      </c>
      <c r="Q24" t="str">
        <f t="shared" si="3"/>
        <v>Medium</v>
      </c>
    </row>
    <row r="25" spans="1:17" x14ac:dyDescent="0.3">
      <c r="A25">
        <f>IF('tips dataset'!$A25="Male",1,0)</f>
        <v>0</v>
      </c>
      <c r="B25">
        <f>IF('tips dataset'!$A25="Female",1,0)</f>
        <v>1</v>
      </c>
      <c r="C25">
        <f>IF('tips dataset'!$B25="Yes",1,0)</f>
        <v>0</v>
      </c>
      <c r="D25">
        <f>IF('tips dataset'!$B25="No",1,0)</f>
        <v>1</v>
      </c>
      <c r="E25">
        <f>IF('tips dataset'!$C25="Sat",1,0)</f>
        <v>0</v>
      </c>
      <c r="F25">
        <f>IF('tips dataset'!$C25="fri",1,0)</f>
        <v>0</v>
      </c>
      <c r="G25">
        <f>IF('tips dataset'!$C25="Sun",1,0)</f>
        <v>0</v>
      </c>
      <c r="H25">
        <f>IF('tips dataset'!$D25="Lunch",1,0)</f>
        <v>1</v>
      </c>
      <c r="I25">
        <f>IF('tips dataset'!$D25="Dinner",1,0)</f>
        <v>0</v>
      </c>
      <c r="J25">
        <f>'tips dataset'!$E25</f>
        <v>2</v>
      </c>
      <c r="K25">
        <v>39.42</v>
      </c>
      <c r="L25">
        <v>7.58</v>
      </c>
      <c r="M25" s="12">
        <f t="shared" si="0"/>
        <v>0.19228817858954844</v>
      </c>
      <c r="N25" s="11">
        <f t="shared" si="1"/>
        <v>19.71</v>
      </c>
      <c r="O25" s="11">
        <f t="shared" si="2"/>
        <v>3.79</v>
      </c>
      <c r="P25">
        <f>IF('tips dataset'!$C25="thur",1,0)</f>
        <v>1</v>
      </c>
      <c r="Q25" t="str">
        <f t="shared" si="3"/>
        <v>Premium</v>
      </c>
    </row>
    <row r="26" spans="1:17" x14ac:dyDescent="0.3">
      <c r="A26">
        <f>IF('tips dataset'!$A26="Male",1,0)</f>
        <v>1</v>
      </c>
      <c r="B26">
        <f>IF('tips dataset'!$A26="Female",1,0)</f>
        <v>0</v>
      </c>
      <c r="C26">
        <f>IF('tips dataset'!$B26="Yes",1,0)</f>
        <v>0</v>
      </c>
      <c r="D26">
        <f>IF('tips dataset'!$B26="No",1,0)</f>
        <v>1</v>
      </c>
      <c r="E26">
        <f>IF('tips dataset'!$C26="Sat",1,0)</f>
        <v>0</v>
      </c>
      <c r="F26">
        <f>IF('tips dataset'!$C26="fri",1,0)</f>
        <v>0</v>
      </c>
      <c r="G26">
        <f>IF('tips dataset'!$C26="Sun",1,0)</f>
        <v>1</v>
      </c>
      <c r="H26">
        <f>IF('tips dataset'!$D26="Lunch",1,0)</f>
        <v>0</v>
      </c>
      <c r="I26">
        <f>IF('tips dataset'!$D26="Dinner",1,0)</f>
        <v>1</v>
      </c>
      <c r="J26">
        <f>'tips dataset'!$E26</f>
        <v>3</v>
      </c>
      <c r="K26">
        <v>19.82</v>
      </c>
      <c r="L26">
        <v>3.18</v>
      </c>
      <c r="M26" s="12">
        <f t="shared" si="0"/>
        <v>0.16044399596367306</v>
      </c>
      <c r="N26" s="11">
        <f t="shared" si="1"/>
        <v>6.6066666666666665</v>
      </c>
      <c r="O26" s="11">
        <f t="shared" si="2"/>
        <v>1.06</v>
      </c>
      <c r="P26">
        <f>IF('tips dataset'!$C26="thur",1,0)</f>
        <v>0</v>
      </c>
      <c r="Q26" t="str">
        <f t="shared" si="3"/>
        <v>Medium</v>
      </c>
    </row>
    <row r="27" spans="1:17" x14ac:dyDescent="0.3">
      <c r="A27">
        <f>IF('tips dataset'!$A27="Male",1,0)</f>
        <v>1</v>
      </c>
      <c r="B27">
        <f>IF('tips dataset'!$A27="Female",1,0)</f>
        <v>0</v>
      </c>
      <c r="C27">
        <f>IF('tips dataset'!$B27="Yes",1,0)</f>
        <v>1</v>
      </c>
      <c r="D27">
        <f>IF('tips dataset'!$B27="No",1,0)</f>
        <v>0</v>
      </c>
      <c r="E27">
        <f>IF('tips dataset'!$C27="Sat",1,0)</f>
        <v>0</v>
      </c>
      <c r="F27">
        <f>IF('tips dataset'!$C27="fri",1,0)</f>
        <v>0</v>
      </c>
      <c r="G27">
        <f>IF('tips dataset'!$C27="Sun",1,0)</f>
        <v>0</v>
      </c>
      <c r="H27">
        <f>IF('tips dataset'!$D27="Lunch",1,0)</f>
        <v>1</v>
      </c>
      <c r="I27">
        <f>IF('tips dataset'!$D27="Dinner",1,0)</f>
        <v>0</v>
      </c>
      <c r="J27">
        <f>'tips dataset'!$E27</f>
        <v>2</v>
      </c>
      <c r="K27">
        <v>17.809999999999999</v>
      </c>
      <c r="L27">
        <v>2.34</v>
      </c>
      <c r="M27" s="12">
        <f t="shared" si="0"/>
        <v>0.13138686131386862</v>
      </c>
      <c r="N27" s="11">
        <f t="shared" si="1"/>
        <v>8.9049999999999994</v>
      </c>
      <c r="O27" s="11">
        <f t="shared" si="2"/>
        <v>1.17</v>
      </c>
      <c r="P27">
        <f>IF('tips dataset'!$C27="thur",1,0)</f>
        <v>1</v>
      </c>
      <c r="Q27" t="str">
        <f t="shared" si="3"/>
        <v>Medium</v>
      </c>
    </row>
    <row r="28" spans="1:17" x14ac:dyDescent="0.3">
      <c r="A28">
        <f>IF('tips dataset'!$A28="Male",1,0)</f>
        <v>1</v>
      </c>
      <c r="B28">
        <f>IF('tips dataset'!$A28="Female",1,0)</f>
        <v>0</v>
      </c>
      <c r="C28">
        <f>IF('tips dataset'!$B28="Yes",1,0)</f>
        <v>0</v>
      </c>
      <c r="D28">
        <f>IF('tips dataset'!$B28="No",1,0)</f>
        <v>1</v>
      </c>
      <c r="E28">
        <f>IF('tips dataset'!$C28="Sat",1,0)</f>
        <v>1</v>
      </c>
      <c r="F28">
        <f>IF('tips dataset'!$C28="fri",1,0)</f>
        <v>0</v>
      </c>
      <c r="G28">
        <f>IF('tips dataset'!$C28="Sun",1,0)</f>
        <v>0</v>
      </c>
      <c r="H28">
        <f>IF('tips dataset'!$D28="Lunch",1,0)</f>
        <v>0</v>
      </c>
      <c r="I28">
        <f>IF('tips dataset'!$D28="Dinner",1,0)</f>
        <v>1</v>
      </c>
      <c r="J28">
        <f>'tips dataset'!$E28</f>
        <v>2</v>
      </c>
      <c r="K28">
        <v>13.37</v>
      </c>
      <c r="L28">
        <v>2</v>
      </c>
      <c r="M28" s="12">
        <f t="shared" si="0"/>
        <v>0.14958863126402394</v>
      </c>
      <c r="N28" s="11">
        <f t="shared" si="1"/>
        <v>6.6849999999999996</v>
      </c>
      <c r="O28" s="11">
        <f t="shared" si="2"/>
        <v>1</v>
      </c>
      <c r="P28">
        <f>IF('tips dataset'!$C28="thur",1,0)</f>
        <v>0</v>
      </c>
      <c r="Q28" t="str">
        <f t="shared" si="3"/>
        <v>Low</v>
      </c>
    </row>
    <row r="29" spans="1:17" x14ac:dyDescent="0.3">
      <c r="A29">
        <f>IF('tips dataset'!$A29="Male",1,0)</f>
        <v>0</v>
      </c>
      <c r="B29">
        <f>IF('tips dataset'!$A29="Female",1,0)</f>
        <v>1</v>
      </c>
      <c r="C29">
        <f>IF('tips dataset'!$B29="Yes",1,0)</f>
        <v>1</v>
      </c>
      <c r="D29">
        <f>IF('tips dataset'!$B29="No",1,0)</f>
        <v>0</v>
      </c>
      <c r="E29">
        <f>IF('tips dataset'!$C29="Sat",1,0)</f>
        <v>1</v>
      </c>
      <c r="F29">
        <f>IF('tips dataset'!$C29="fri",1,0)</f>
        <v>0</v>
      </c>
      <c r="G29">
        <f>IF('tips dataset'!$C29="Sun",1,0)</f>
        <v>0</v>
      </c>
      <c r="H29">
        <f>IF('tips dataset'!$D29="Lunch",1,0)</f>
        <v>0</v>
      </c>
      <c r="I29">
        <f>IF('tips dataset'!$D29="Dinner",1,0)</f>
        <v>1</v>
      </c>
      <c r="J29">
        <f>'tips dataset'!$E29</f>
        <v>2</v>
      </c>
      <c r="K29">
        <v>12.69</v>
      </c>
      <c r="L29">
        <v>2</v>
      </c>
      <c r="M29" s="12">
        <f t="shared" si="0"/>
        <v>0.15760441292356187</v>
      </c>
      <c r="N29" s="11">
        <f t="shared" si="1"/>
        <v>6.3449999999999998</v>
      </c>
      <c r="O29" s="11">
        <f t="shared" si="2"/>
        <v>1</v>
      </c>
      <c r="P29">
        <f>IF('tips dataset'!$C29="thur",1,0)</f>
        <v>0</v>
      </c>
      <c r="Q29" t="str">
        <f t="shared" si="3"/>
        <v>Low</v>
      </c>
    </row>
    <row r="30" spans="1:17" x14ac:dyDescent="0.3">
      <c r="A30">
        <f>IF('tips dataset'!$A30="Male",1,0)</f>
        <v>0</v>
      </c>
      <c r="B30">
        <f>IF('tips dataset'!$A30="Female",1,0)</f>
        <v>1</v>
      </c>
      <c r="C30">
        <f>IF('tips dataset'!$B30="Yes",1,0)</f>
        <v>1</v>
      </c>
      <c r="D30">
        <f>IF('tips dataset'!$B30="No",1,0)</f>
        <v>0</v>
      </c>
      <c r="E30">
        <f>IF('tips dataset'!$C30="Sat",1,0)</f>
        <v>1</v>
      </c>
      <c r="F30">
        <f>IF('tips dataset'!$C30="fri",1,0)</f>
        <v>0</v>
      </c>
      <c r="G30">
        <f>IF('tips dataset'!$C30="Sun",1,0)</f>
        <v>0</v>
      </c>
      <c r="H30">
        <f>IF('tips dataset'!$D30="Lunch",1,0)</f>
        <v>0</v>
      </c>
      <c r="I30">
        <f>IF('tips dataset'!$D30="Dinner",1,0)</f>
        <v>1</v>
      </c>
      <c r="J30">
        <f>'tips dataset'!$E30</f>
        <v>2</v>
      </c>
      <c r="K30">
        <v>21.7</v>
      </c>
      <c r="L30">
        <v>4.3</v>
      </c>
      <c r="M30" s="12">
        <f t="shared" si="0"/>
        <v>0.19815668202764977</v>
      </c>
      <c r="N30" s="11">
        <f t="shared" si="1"/>
        <v>10.85</v>
      </c>
      <c r="O30" s="11">
        <f t="shared" si="2"/>
        <v>2.15</v>
      </c>
      <c r="P30">
        <f>IF('tips dataset'!$C30="thur",1,0)</f>
        <v>0</v>
      </c>
      <c r="Q30" t="str">
        <f t="shared" si="3"/>
        <v>Medium</v>
      </c>
    </row>
    <row r="31" spans="1:17" x14ac:dyDescent="0.3">
      <c r="A31">
        <f>IF('tips dataset'!$A31="Male",1,0)</f>
        <v>0</v>
      </c>
      <c r="B31">
        <f>IF('tips dataset'!$A31="Female",1,0)</f>
        <v>1</v>
      </c>
      <c r="C31">
        <f>IF('tips dataset'!$B31="Yes",1,0)</f>
        <v>0</v>
      </c>
      <c r="D31">
        <f>IF('tips dataset'!$B31="No",1,0)</f>
        <v>1</v>
      </c>
      <c r="E31">
        <f>IF('tips dataset'!$C31="Sat",1,0)</f>
        <v>0</v>
      </c>
      <c r="F31">
        <f>IF('tips dataset'!$C31="fri",1,0)</f>
        <v>0</v>
      </c>
      <c r="G31">
        <f>IF('tips dataset'!$C31="Sun",1,0)</f>
        <v>0</v>
      </c>
      <c r="H31">
        <f>IF('tips dataset'!$D31="Lunch",1,0)</f>
        <v>1</v>
      </c>
      <c r="I31">
        <f>IF('tips dataset'!$D31="Dinner",1,0)</f>
        <v>0</v>
      </c>
      <c r="J31">
        <f>'tips dataset'!$E31</f>
        <v>2</v>
      </c>
      <c r="K31">
        <v>19.649999999999999</v>
      </c>
      <c r="L31">
        <v>3</v>
      </c>
      <c r="M31" s="12">
        <f t="shared" si="0"/>
        <v>0.15267175572519084</v>
      </c>
      <c r="N31" s="11">
        <f t="shared" si="1"/>
        <v>9.8249999999999993</v>
      </c>
      <c r="O31" s="11">
        <f t="shared" si="2"/>
        <v>1.5</v>
      </c>
      <c r="P31">
        <f>IF('tips dataset'!$C31="thur",1,0)</f>
        <v>1</v>
      </c>
      <c r="Q31" t="str">
        <f t="shared" si="3"/>
        <v>Medium</v>
      </c>
    </row>
    <row r="32" spans="1:17" x14ac:dyDescent="0.3">
      <c r="A32">
        <f>IF('tips dataset'!$A32="Male",1,0)</f>
        <v>1</v>
      </c>
      <c r="B32">
        <f>IF('tips dataset'!$A32="Female",1,0)</f>
        <v>0</v>
      </c>
      <c r="C32">
        <f>IF('tips dataset'!$B32="Yes",1,0)</f>
        <v>0</v>
      </c>
      <c r="D32">
        <f>IF('tips dataset'!$B32="No",1,0)</f>
        <v>1</v>
      </c>
      <c r="E32">
        <f>IF('tips dataset'!$C32="Sat",1,0)</f>
        <v>1</v>
      </c>
      <c r="F32">
        <f>IF('tips dataset'!$C32="fri",1,0)</f>
        <v>0</v>
      </c>
      <c r="G32">
        <f>IF('tips dataset'!$C32="Sun",1,0)</f>
        <v>0</v>
      </c>
      <c r="H32">
        <f>IF('tips dataset'!$D32="Lunch",1,0)</f>
        <v>0</v>
      </c>
      <c r="I32">
        <f>IF('tips dataset'!$D32="Dinner",1,0)</f>
        <v>1</v>
      </c>
      <c r="J32">
        <f>'tips dataset'!$E32</f>
        <v>2</v>
      </c>
      <c r="K32">
        <v>9.5500000000000007</v>
      </c>
      <c r="L32">
        <v>1.45</v>
      </c>
      <c r="M32" s="12">
        <f t="shared" si="0"/>
        <v>0.15183246073298429</v>
      </c>
      <c r="N32" s="11">
        <f t="shared" si="1"/>
        <v>4.7750000000000004</v>
      </c>
      <c r="O32" s="11">
        <f t="shared" si="2"/>
        <v>0.72499999999999998</v>
      </c>
      <c r="P32">
        <f>IF('tips dataset'!$C32="thur",1,0)</f>
        <v>0</v>
      </c>
      <c r="Q32" t="str">
        <f t="shared" si="3"/>
        <v>Low</v>
      </c>
    </row>
    <row r="33" spans="1:17" x14ac:dyDescent="0.3">
      <c r="A33">
        <f>IF('tips dataset'!$A33="Male",1,0)</f>
        <v>1</v>
      </c>
      <c r="B33">
        <f>IF('tips dataset'!$A33="Female",1,0)</f>
        <v>0</v>
      </c>
      <c r="C33">
        <f>IF('tips dataset'!$B33="Yes",1,0)</f>
        <v>1</v>
      </c>
      <c r="D33">
        <f>IF('tips dataset'!$B33="No",1,0)</f>
        <v>0</v>
      </c>
      <c r="E33">
        <f>IF('tips dataset'!$C33="Sat",1,0)</f>
        <v>1</v>
      </c>
      <c r="F33">
        <f>IF('tips dataset'!$C33="fri",1,0)</f>
        <v>0</v>
      </c>
      <c r="G33">
        <f>IF('tips dataset'!$C33="Sun",1,0)</f>
        <v>0</v>
      </c>
      <c r="H33">
        <f>IF('tips dataset'!$D33="Lunch",1,0)</f>
        <v>0</v>
      </c>
      <c r="I33">
        <f>IF('tips dataset'!$D33="Dinner",1,0)</f>
        <v>1</v>
      </c>
      <c r="J33">
        <f>'tips dataset'!$E33</f>
        <v>2</v>
      </c>
      <c r="K33">
        <v>18.350000000000001</v>
      </c>
      <c r="L33">
        <v>2.5</v>
      </c>
      <c r="M33" s="12">
        <f t="shared" si="0"/>
        <v>0.13623978201634876</v>
      </c>
      <c r="N33" s="11">
        <f t="shared" si="1"/>
        <v>9.1750000000000007</v>
      </c>
      <c r="O33" s="11">
        <f t="shared" si="2"/>
        <v>1.25</v>
      </c>
      <c r="P33">
        <f>IF('tips dataset'!$C33="thur",1,0)</f>
        <v>0</v>
      </c>
      <c r="Q33" t="str">
        <f t="shared" si="3"/>
        <v>Medium</v>
      </c>
    </row>
    <row r="34" spans="1:17" x14ac:dyDescent="0.3">
      <c r="A34">
        <f>IF('tips dataset'!$A34="Male",1,0)</f>
        <v>0</v>
      </c>
      <c r="B34">
        <f>IF('tips dataset'!$A34="Female",1,0)</f>
        <v>1</v>
      </c>
      <c r="C34">
        <f>IF('tips dataset'!$B34="Yes",1,0)</f>
        <v>0</v>
      </c>
      <c r="D34">
        <f>IF('tips dataset'!$B34="No",1,0)</f>
        <v>1</v>
      </c>
      <c r="E34">
        <f>IF('tips dataset'!$C34="Sat",1,0)</f>
        <v>0</v>
      </c>
      <c r="F34">
        <f>IF('tips dataset'!$C34="fri",1,0)</f>
        <v>0</v>
      </c>
      <c r="G34">
        <f>IF('tips dataset'!$C34="Sun",1,0)</f>
        <v>0</v>
      </c>
      <c r="H34">
        <f>IF('tips dataset'!$D34="Lunch",1,0)</f>
        <v>1</v>
      </c>
      <c r="I34">
        <f>IF('tips dataset'!$D34="Dinner",1,0)</f>
        <v>0</v>
      </c>
      <c r="J34">
        <f>'tips dataset'!$E34</f>
        <v>2</v>
      </c>
      <c r="K34">
        <v>15.06</v>
      </c>
      <c r="L34">
        <v>3</v>
      </c>
      <c r="M34" s="12">
        <f t="shared" si="0"/>
        <v>0.19920318725099601</v>
      </c>
      <c r="N34" s="11">
        <f t="shared" si="1"/>
        <v>7.53</v>
      </c>
      <c r="O34" s="11">
        <f t="shared" si="2"/>
        <v>1.5</v>
      </c>
      <c r="P34">
        <f>IF('tips dataset'!$C34="thur",1,0)</f>
        <v>1</v>
      </c>
      <c r="Q34" t="str">
        <f t="shared" si="3"/>
        <v>Medium</v>
      </c>
    </row>
    <row r="35" spans="1:17" x14ac:dyDescent="0.3">
      <c r="A35">
        <f>IF('tips dataset'!$A35="Male",1,0)</f>
        <v>1</v>
      </c>
      <c r="B35">
        <f>IF('tips dataset'!$A35="Female",1,0)</f>
        <v>0</v>
      </c>
      <c r="C35">
        <f>IF('tips dataset'!$B35="Yes",1,0)</f>
        <v>1</v>
      </c>
      <c r="D35">
        <f>IF('tips dataset'!$B35="No",1,0)</f>
        <v>0</v>
      </c>
      <c r="E35">
        <f>IF('tips dataset'!$C35="Sat",1,0)</f>
        <v>1</v>
      </c>
      <c r="F35">
        <f>IF('tips dataset'!$C35="fri",1,0)</f>
        <v>0</v>
      </c>
      <c r="G35">
        <f>IF('tips dataset'!$C35="Sun",1,0)</f>
        <v>0</v>
      </c>
      <c r="H35">
        <f>IF('tips dataset'!$D35="Lunch",1,0)</f>
        <v>0</v>
      </c>
      <c r="I35">
        <f>IF('tips dataset'!$D35="Dinner",1,0)</f>
        <v>1</v>
      </c>
      <c r="J35">
        <f>'tips dataset'!$E35</f>
        <v>2</v>
      </c>
      <c r="K35">
        <v>20.69</v>
      </c>
      <c r="L35">
        <v>2.4500000000000002</v>
      </c>
      <c r="M35" s="12">
        <f t="shared" si="0"/>
        <v>0.11841469308844853</v>
      </c>
      <c r="N35" s="11">
        <f t="shared" si="1"/>
        <v>10.345000000000001</v>
      </c>
      <c r="O35" s="11">
        <f t="shared" si="2"/>
        <v>1.2250000000000001</v>
      </c>
      <c r="P35">
        <f>IF('tips dataset'!$C35="thur",1,0)</f>
        <v>0</v>
      </c>
      <c r="Q35" t="str">
        <f t="shared" si="3"/>
        <v>Medium</v>
      </c>
    </row>
    <row r="36" spans="1:17" x14ac:dyDescent="0.3">
      <c r="A36">
        <f>IF('tips dataset'!$A36="Male",1,0)</f>
        <v>0</v>
      </c>
      <c r="B36">
        <f>IF('tips dataset'!$A36="Female",1,0)</f>
        <v>1</v>
      </c>
      <c r="C36">
        <f>IF('tips dataset'!$B36="Yes",1,0)</f>
        <v>1</v>
      </c>
      <c r="D36">
        <f>IF('tips dataset'!$B36="No",1,0)</f>
        <v>0</v>
      </c>
      <c r="E36">
        <f>IF('tips dataset'!$C36="Sat",1,0)</f>
        <v>0</v>
      </c>
      <c r="F36">
        <f>IF('tips dataset'!$C36="fri",1,0)</f>
        <v>1</v>
      </c>
      <c r="G36">
        <f>IF('tips dataset'!$C36="Sun",1,0)</f>
        <v>0</v>
      </c>
      <c r="H36">
        <f>IF('tips dataset'!$D36="Lunch",1,0)</f>
        <v>0</v>
      </c>
      <c r="I36">
        <f>IF('tips dataset'!$D36="Dinner",1,0)</f>
        <v>1</v>
      </c>
      <c r="J36">
        <f>'tips dataset'!$E36</f>
        <v>2</v>
      </c>
      <c r="K36">
        <v>17.78</v>
      </c>
      <c r="L36">
        <v>3.27</v>
      </c>
      <c r="M36" s="12">
        <f t="shared" si="0"/>
        <v>0.18391451068616421</v>
      </c>
      <c r="N36" s="11">
        <f t="shared" si="1"/>
        <v>8.89</v>
      </c>
      <c r="O36" s="11">
        <f t="shared" si="2"/>
        <v>1.635</v>
      </c>
      <c r="P36">
        <f>IF('tips dataset'!$C36="thur",1,0)</f>
        <v>0</v>
      </c>
      <c r="Q36" t="str">
        <f t="shared" si="3"/>
        <v>Medium</v>
      </c>
    </row>
    <row r="37" spans="1:17" x14ac:dyDescent="0.3">
      <c r="A37">
        <f>IF('tips dataset'!$A37="Male",1,0)</f>
        <v>0</v>
      </c>
      <c r="B37">
        <f>IF('tips dataset'!$A37="Female",1,0)</f>
        <v>1</v>
      </c>
      <c r="C37">
        <f>IF('tips dataset'!$B37="Yes",1,0)</f>
        <v>0</v>
      </c>
      <c r="D37">
        <f>IF('tips dataset'!$B37="No",1,0)</f>
        <v>1</v>
      </c>
      <c r="E37">
        <f>IF('tips dataset'!$C37="Sat",1,0)</f>
        <v>0</v>
      </c>
      <c r="F37">
        <f>IF('tips dataset'!$C37="fri",1,0)</f>
        <v>0</v>
      </c>
      <c r="G37">
        <f>IF('tips dataset'!$C37="Sun",1,0)</f>
        <v>0</v>
      </c>
      <c r="H37">
        <f>IF('tips dataset'!$D37="Lunch",1,0)</f>
        <v>1</v>
      </c>
      <c r="I37">
        <f>IF('tips dataset'!$D37="Dinner",1,0)</f>
        <v>0</v>
      </c>
      <c r="J37">
        <f>'tips dataset'!$E37</f>
        <v>2</v>
      </c>
      <c r="K37">
        <v>24.06</v>
      </c>
      <c r="L37">
        <v>3.6</v>
      </c>
      <c r="M37" s="12">
        <f t="shared" si="0"/>
        <v>0.14962593516209477</v>
      </c>
      <c r="N37" s="11">
        <f t="shared" si="1"/>
        <v>12.03</v>
      </c>
      <c r="O37" s="11">
        <f t="shared" si="2"/>
        <v>1.8</v>
      </c>
      <c r="P37">
        <f>IF('tips dataset'!$C37="thur",1,0)</f>
        <v>1</v>
      </c>
      <c r="Q37" t="str">
        <f t="shared" si="3"/>
        <v>Medium</v>
      </c>
    </row>
    <row r="38" spans="1:17" x14ac:dyDescent="0.3">
      <c r="A38">
        <f>IF('tips dataset'!$A38="Male",1,0)</f>
        <v>1</v>
      </c>
      <c r="B38">
        <f>IF('tips dataset'!$A38="Female",1,0)</f>
        <v>0</v>
      </c>
      <c r="C38">
        <f>IF('tips dataset'!$B38="Yes",1,0)</f>
        <v>1</v>
      </c>
      <c r="D38">
        <f>IF('tips dataset'!$B38="No",1,0)</f>
        <v>0</v>
      </c>
      <c r="E38">
        <f>IF('tips dataset'!$C38="Sat",1,0)</f>
        <v>1</v>
      </c>
      <c r="F38">
        <f>IF('tips dataset'!$C38="fri",1,0)</f>
        <v>0</v>
      </c>
      <c r="G38">
        <f>IF('tips dataset'!$C38="Sun",1,0)</f>
        <v>0</v>
      </c>
      <c r="H38">
        <f>IF('tips dataset'!$D38="Lunch",1,0)</f>
        <v>0</v>
      </c>
      <c r="I38">
        <f>IF('tips dataset'!$D38="Dinner",1,0)</f>
        <v>1</v>
      </c>
      <c r="J38">
        <f>'tips dataset'!$E38</f>
        <v>2</v>
      </c>
      <c r="K38">
        <v>16.309999999999999</v>
      </c>
      <c r="L38">
        <v>2</v>
      </c>
      <c r="M38" s="12">
        <f t="shared" si="0"/>
        <v>0.12262415695892091</v>
      </c>
      <c r="N38" s="11">
        <f t="shared" si="1"/>
        <v>8.1549999999999994</v>
      </c>
      <c r="O38" s="11">
        <f t="shared" si="2"/>
        <v>1</v>
      </c>
      <c r="P38">
        <f>IF('tips dataset'!$C38="thur",1,0)</f>
        <v>0</v>
      </c>
      <c r="Q38" t="str">
        <f t="shared" si="3"/>
        <v>Medium</v>
      </c>
    </row>
    <row r="39" spans="1:17" x14ac:dyDescent="0.3">
      <c r="A39">
        <f>IF('tips dataset'!$A39="Male",1,0)</f>
        <v>1</v>
      </c>
      <c r="B39">
        <f>IF('tips dataset'!$A39="Female",1,0)</f>
        <v>0</v>
      </c>
      <c r="C39">
        <f>IF('tips dataset'!$B39="Yes",1,0)</f>
        <v>0</v>
      </c>
      <c r="D39">
        <f>IF('tips dataset'!$B39="No",1,0)</f>
        <v>1</v>
      </c>
      <c r="E39">
        <f>IF('tips dataset'!$C39="Sat",1,0)</f>
        <v>1</v>
      </c>
      <c r="F39">
        <f>IF('tips dataset'!$C39="fri",1,0)</f>
        <v>0</v>
      </c>
      <c r="G39">
        <f>IF('tips dataset'!$C39="Sun",1,0)</f>
        <v>0</v>
      </c>
      <c r="H39">
        <f>IF('tips dataset'!$D39="Lunch",1,0)</f>
        <v>0</v>
      </c>
      <c r="I39">
        <f>IF('tips dataset'!$D39="Dinner",1,0)</f>
        <v>1</v>
      </c>
      <c r="J39">
        <f>'tips dataset'!$E39</f>
        <v>2</v>
      </c>
      <c r="K39">
        <v>16.93</v>
      </c>
      <c r="L39">
        <v>3.07</v>
      </c>
      <c r="M39" s="12">
        <f t="shared" si="0"/>
        <v>0.1813349084465446</v>
      </c>
      <c r="N39" s="11">
        <f t="shared" si="1"/>
        <v>8.4649999999999999</v>
      </c>
      <c r="O39" s="11">
        <f t="shared" si="2"/>
        <v>1.5349999999999999</v>
      </c>
      <c r="P39">
        <f>IF('tips dataset'!$C39="thur",1,0)</f>
        <v>0</v>
      </c>
      <c r="Q39" t="str">
        <f t="shared" si="3"/>
        <v>Medium</v>
      </c>
    </row>
    <row r="40" spans="1:17" x14ac:dyDescent="0.3">
      <c r="A40">
        <f>IF('tips dataset'!$A40="Male",1,0)</f>
        <v>1</v>
      </c>
      <c r="B40">
        <f>IF('tips dataset'!$A40="Female",1,0)</f>
        <v>0</v>
      </c>
      <c r="C40">
        <f>IF('tips dataset'!$B40="Yes",1,0)</f>
        <v>0</v>
      </c>
      <c r="D40">
        <f>IF('tips dataset'!$B40="No",1,0)</f>
        <v>1</v>
      </c>
      <c r="E40">
        <f>IF('tips dataset'!$C40="Sat",1,0)</f>
        <v>0</v>
      </c>
      <c r="F40">
        <f>IF('tips dataset'!$C40="fri",1,0)</f>
        <v>0</v>
      </c>
      <c r="G40">
        <f>IF('tips dataset'!$C40="Sun",1,0)</f>
        <v>0</v>
      </c>
      <c r="H40">
        <f>IF('tips dataset'!$D40="Lunch",1,0)</f>
        <v>1</v>
      </c>
      <c r="I40">
        <f>IF('tips dataset'!$D40="Dinner",1,0)</f>
        <v>0</v>
      </c>
      <c r="J40">
        <f>'tips dataset'!$E40</f>
        <v>2</v>
      </c>
      <c r="K40">
        <v>18.690000000000001</v>
      </c>
      <c r="L40">
        <v>2.31</v>
      </c>
      <c r="M40" s="12">
        <f t="shared" si="0"/>
        <v>0.12359550561797752</v>
      </c>
      <c r="N40" s="11">
        <f t="shared" si="1"/>
        <v>9.3450000000000006</v>
      </c>
      <c r="O40" s="11">
        <f t="shared" si="2"/>
        <v>1.155</v>
      </c>
      <c r="P40">
        <f>IF('tips dataset'!$C40="thur",1,0)</f>
        <v>1</v>
      </c>
      <c r="Q40" t="str">
        <f t="shared" si="3"/>
        <v>Medium</v>
      </c>
    </row>
    <row r="41" spans="1:17" x14ac:dyDescent="0.3">
      <c r="A41">
        <f>IF('tips dataset'!$A41="Male",1,0)</f>
        <v>0</v>
      </c>
      <c r="B41">
        <f>IF('tips dataset'!$A41="Female",1,0)</f>
        <v>1</v>
      </c>
      <c r="C41">
        <f>IF('tips dataset'!$B41="Yes",1,0)</f>
        <v>0</v>
      </c>
      <c r="D41">
        <f>IF('tips dataset'!$B41="No",1,0)</f>
        <v>1</v>
      </c>
      <c r="E41">
        <f>IF('tips dataset'!$C41="Sat",1,0)</f>
        <v>0</v>
      </c>
      <c r="F41">
        <f>IF('tips dataset'!$C41="fri",1,0)</f>
        <v>0</v>
      </c>
      <c r="G41">
        <f>IF('tips dataset'!$C41="Sun",1,0)</f>
        <v>0</v>
      </c>
      <c r="H41">
        <f>IF('tips dataset'!$D41="Lunch",1,0)</f>
        <v>1</v>
      </c>
      <c r="I41">
        <f>IF('tips dataset'!$D41="Dinner",1,0)</f>
        <v>0</v>
      </c>
      <c r="J41">
        <f>'tips dataset'!$E41</f>
        <v>2</v>
      </c>
      <c r="K41">
        <v>31.27</v>
      </c>
      <c r="L41">
        <v>5</v>
      </c>
      <c r="M41" s="12">
        <f t="shared" si="0"/>
        <v>0.1598976654940838</v>
      </c>
      <c r="N41" s="11">
        <f t="shared" si="1"/>
        <v>15.635</v>
      </c>
      <c r="O41" s="11">
        <f t="shared" si="2"/>
        <v>2.5</v>
      </c>
      <c r="P41">
        <f>IF('tips dataset'!$C41="thur",1,0)</f>
        <v>1</v>
      </c>
      <c r="Q41" t="str">
        <f t="shared" si="3"/>
        <v>High</v>
      </c>
    </row>
    <row r="42" spans="1:17" x14ac:dyDescent="0.3">
      <c r="A42">
        <f>IF('tips dataset'!$A42="Male",1,0)</f>
        <v>1</v>
      </c>
      <c r="B42">
        <f>IF('tips dataset'!$A42="Female",1,0)</f>
        <v>0</v>
      </c>
      <c r="C42">
        <f>IF('tips dataset'!$B42="Yes",1,0)</f>
        <v>0</v>
      </c>
      <c r="D42">
        <f>IF('tips dataset'!$B42="No",1,0)</f>
        <v>1</v>
      </c>
      <c r="E42">
        <f>IF('tips dataset'!$C42="Sat",1,0)</f>
        <v>1</v>
      </c>
      <c r="F42">
        <f>IF('tips dataset'!$C42="fri",1,0)</f>
        <v>0</v>
      </c>
      <c r="G42">
        <f>IF('tips dataset'!$C42="Sun",1,0)</f>
        <v>0</v>
      </c>
      <c r="H42">
        <f>IF('tips dataset'!$D42="Lunch",1,0)</f>
        <v>0</v>
      </c>
      <c r="I42">
        <f>IF('tips dataset'!$D42="Dinner",1,0)</f>
        <v>1</v>
      </c>
      <c r="J42">
        <f>'tips dataset'!$E42</f>
        <v>2</v>
      </c>
      <c r="K42">
        <v>16.04</v>
      </c>
      <c r="L42">
        <v>2.2400000000000002</v>
      </c>
      <c r="M42" s="12">
        <f t="shared" si="0"/>
        <v>0.13965087281795513</v>
      </c>
      <c r="N42" s="11">
        <f t="shared" si="1"/>
        <v>8.02</v>
      </c>
      <c r="O42" s="11">
        <f t="shared" si="2"/>
        <v>1.1200000000000001</v>
      </c>
      <c r="P42">
        <f>IF('tips dataset'!$C42="thur",1,0)</f>
        <v>0</v>
      </c>
      <c r="Q42" t="str">
        <f t="shared" si="3"/>
        <v>Medium</v>
      </c>
    </row>
    <row r="43" spans="1:17" x14ac:dyDescent="0.3">
      <c r="A43">
        <f>IF('tips dataset'!$A43="Male",1,0)</f>
        <v>1</v>
      </c>
      <c r="B43">
        <f>IF('tips dataset'!$A43="Female",1,0)</f>
        <v>0</v>
      </c>
      <c r="C43">
        <f>IF('tips dataset'!$B43="Yes",1,0)</f>
        <v>1</v>
      </c>
      <c r="D43">
        <f>IF('tips dataset'!$B43="No",1,0)</f>
        <v>0</v>
      </c>
      <c r="E43">
        <f>IF('tips dataset'!$C43="Sat",1,0)</f>
        <v>0</v>
      </c>
      <c r="F43">
        <f>IF('tips dataset'!$C43="fri",1,0)</f>
        <v>1</v>
      </c>
      <c r="G43">
        <f>IF('tips dataset'!$C43="Sun",1,0)</f>
        <v>0</v>
      </c>
      <c r="H43">
        <f>IF('tips dataset'!$D43="Lunch",1,0)</f>
        <v>0</v>
      </c>
      <c r="I43">
        <f>IF('tips dataset'!$D43="Dinner",1,0)</f>
        <v>1</v>
      </c>
      <c r="J43">
        <f>'tips dataset'!$E43</f>
        <v>2</v>
      </c>
      <c r="K43">
        <v>17.46</v>
      </c>
      <c r="L43">
        <v>2.54</v>
      </c>
      <c r="M43" s="12">
        <f t="shared" si="0"/>
        <v>0.14547537227949597</v>
      </c>
      <c r="N43" s="11">
        <f t="shared" si="1"/>
        <v>8.73</v>
      </c>
      <c r="O43" s="11">
        <f t="shared" si="2"/>
        <v>1.27</v>
      </c>
      <c r="P43">
        <f>IF('tips dataset'!$C43="thur",1,0)</f>
        <v>0</v>
      </c>
      <c r="Q43" t="str">
        <f t="shared" si="3"/>
        <v>Medium</v>
      </c>
    </row>
    <row r="44" spans="1:17" x14ac:dyDescent="0.3">
      <c r="A44">
        <f>IF('tips dataset'!$A44="Male",1,0)</f>
        <v>1</v>
      </c>
      <c r="B44">
        <f>IF('tips dataset'!$A44="Female",1,0)</f>
        <v>0</v>
      </c>
      <c r="C44">
        <f>IF('tips dataset'!$B44="Yes",1,0)</f>
        <v>1</v>
      </c>
      <c r="D44">
        <f>IF('tips dataset'!$B44="No",1,0)</f>
        <v>0</v>
      </c>
      <c r="E44">
        <f>IF('tips dataset'!$C44="Sat",1,0)</f>
        <v>0</v>
      </c>
      <c r="F44">
        <f>IF('tips dataset'!$C44="fri",1,0)</f>
        <v>1</v>
      </c>
      <c r="G44">
        <f>IF('tips dataset'!$C44="Sun",1,0)</f>
        <v>0</v>
      </c>
      <c r="H44">
        <f>IF('tips dataset'!$D44="Lunch",1,0)</f>
        <v>1</v>
      </c>
      <c r="I44">
        <f>IF('tips dataset'!$D44="Dinner",1,0)</f>
        <v>0</v>
      </c>
      <c r="J44">
        <f>'tips dataset'!$E44</f>
        <v>2</v>
      </c>
      <c r="K44">
        <v>13.94</v>
      </c>
      <c r="L44">
        <v>3.06</v>
      </c>
      <c r="M44" s="12">
        <f t="shared" si="0"/>
        <v>0.21951219512195122</v>
      </c>
      <c r="N44" s="11">
        <f t="shared" si="1"/>
        <v>6.97</v>
      </c>
      <c r="O44" s="11">
        <f t="shared" si="2"/>
        <v>1.53</v>
      </c>
      <c r="P44">
        <f>IF('tips dataset'!$C44="thur",1,0)</f>
        <v>0</v>
      </c>
      <c r="Q44" t="str">
        <f t="shared" si="3"/>
        <v>Low</v>
      </c>
    </row>
    <row r="45" spans="1:17" x14ac:dyDescent="0.3">
      <c r="A45">
        <f>IF('tips dataset'!$A45="Male",1,0)</f>
        <v>0</v>
      </c>
      <c r="B45">
        <f>IF('tips dataset'!$A45="Female",1,0)</f>
        <v>1</v>
      </c>
      <c r="C45">
        <f>IF('tips dataset'!$B45="Yes",1,0)</f>
        <v>0</v>
      </c>
      <c r="D45">
        <f>IF('tips dataset'!$B45="No",1,0)</f>
        <v>1</v>
      </c>
      <c r="E45">
        <f>IF('tips dataset'!$C45="Sat",1,0)</f>
        <v>0</v>
      </c>
      <c r="F45">
        <f>IF('tips dataset'!$C45="fri",1,0)</f>
        <v>0</v>
      </c>
      <c r="G45">
        <f>IF('tips dataset'!$C45="Sun",1,0)</f>
        <v>0</v>
      </c>
      <c r="H45">
        <f>IF('tips dataset'!$D45="Lunch",1,0)</f>
        <v>1</v>
      </c>
      <c r="I45">
        <f>IF('tips dataset'!$D45="Dinner",1,0)</f>
        <v>0</v>
      </c>
      <c r="J45">
        <f>'tips dataset'!$E45</f>
        <v>2</v>
      </c>
      <c r="K45">
        <v>9.68</v>
      </c>
      <c r="L45">
        <v>1.32</v>
      </c>
      <c r="M45" s="12">
        <f t="shared" si="0"/>
        <v>0.13636363636363638</v>
      </c>
      <c r="N45" s="11">
        <f t="shared" si="1"/>
        <v>4.84</v>
      </c>
      <c r="O45" s="11">
        <f t="shared" si="2"/>
        <v>0.66</v>
      </c>
      <c r="P45">
        <f>IF('tips dataset'!$C45="thur",1,0)</f>
        <v>1</v>
      </c>
      <c r="Q45" t="str">
        <f t="shared" si="3"/>
        <v>Low</v>
      </c>
    </row>
    <row r="46" spans="1:17" x14ac:dyDescent="0.3">
      <c r="A46">
        <f>IF('tips dataset'!$A46="Male",1,0)</f>
        <v>0</v>
      </c>
      <c r="B46">
        <f>IF('tips dataset'!$A46="Female",1,0)</f>
        <v>1</v>
      </c>
      <c r="C46">
        <f>IF('tips dataset'!$B46="Yes",1,0)</f>
        <v>0</v>
      </c>
      <c r="D46">
        <f>IF('tips dataset'!$B46="No",1,0)</f>
        <v>1</v>
      </c>
      <c r="E46">
        <f>IF('tips dataset'!$C46="Sat",1,0)</f>
        <v>0</v>
      </c>
      <c r="F46">
        <f>IF('tips dataset'!$C46="fri",1,0)</f>
        <v>0</v>
      </c>
      <c r="G46">
        <f>IF('tips dataset'!$C46="Sun",1,0)</f>
        <v>0</v>
      </c>
      <c r="H46">
        <f>IF('tips dataset'!$D46="Lunch",1,0)</f>
        <v>1</v>
      </c>
      <c r="I46">
        <f>IF('tips dataset'!$D46="Dinner",1,0)</f>
        <v>0</v>
      </c>
      <c r="J46">
        <f>'tips dataset'!$E46</f>
        <v>2</v>
      </c>
      <c r="K46">
        <v>30.4</v>
      </c>
      <c r="L46">
        <v>5.6</v>
      </c>
      <c r="M46" s="12">
        <f t="shared" si="0"/>
        <v>0.18421052631578946</v>
      </c>
      <c r="N46" s="11">
        <f t="shared" si="1"/>
        <v>15.2</v>
      </c>
      <c r="O46" s="11">
        <f t="shared" si="2"/>
        <v>2.8</v>
      </c>
      <c r="P46">
        <f>IF('tips dataset'!$C46="thur",1,0)</f>
        <v>1</v>
      </c>
      <c r="Q46" t="str">
        <f t="shared" si="3"/>
        <v>High</v>
      </c>
    </row>
    <row r="47" spans="1:17" x14ac:dyDescent="0.3">
      <c r="A47">
        <f>IF('tips dataset'!$A47="Male",1,0)</f>
        <v>1</v>
      </c>
      <c r="B47">
        <f>IF('tips dataset'!$A47="Female",1,0)</f>
        <v>0</v>
      </c>
      <c r="C47">
        <f>IF('tips dataset'!$B47="Yes",1,0)</f>
        <v>0</v>
      </c>
      <c r="D47">
        <f>IF('tips dataset'!$B47="No",1,0)</f>
        <v>1</v>
      </c>
      <c r="E47">
        <f>IF('tips dataset'!$C47="Sat",1,0)</f>
        <v>0</v>
      </c>
      <c r="F47">
        <f>IF('tips dataset'!$C47="fri",1,0)</f>
        <v>1</v>
      </c>
      <c r="G47">
        <f>IF('tips dataset'!$C47="Sun",1,0)</f>
        <v>0</v>
      </c>
      <c r="H47">
        <f>IF('tips dataset'!$D47="Lunch",1,0)</f>
        <v>0</v>
      </c>
      <c r="I47">
        <f>IF('tips dataset'!$D47="Dinner",1,0)</f>
        <v>1</v>
      </c>
      <c r="J47">
        <f>'tips dataset'!$E47</f>
        <v>2</v>
      </c>
      <c r="K47">
        <v>18.29</v>
      </c>
      <c r="L47">
        <v>3</v>
      </c>
      <c r="M47" s="12">
        <f t="shared" si="0"/>
        <v>0.16402405686167304</v>
      </c>
      <c r="N47" s="11">
        <f t="shared" si="1"/>
        <v>9.1449999999999996</v>
      </c>
      <c r="O47" s="11">
        <f t="shared" si="2"/>
        <v>1.5</v>
      </c>
      <c r="P47">
        <f>IF('tips dataset'!$C47="thur",1,0)</f>
        <v>0</v>
      </c>
      <c r="Q47" t="str">
        <f t="shared" si="3"/>
        <v>Medium</v>
      </c>
    </row>
    <row r="48" spans="1:17" x14ac:dyDescent="0.3">
      <c r="A48">
        <f>IF('tips dataset'!$A48="Male",1,0)</f>
        <v>0</v>
      </c>
      <c r="B48">
        <f>IF('tips dataset'!$A48="Female",1,0)</f>
        <v>1</v>
      </c>
      <c r="C48">
        <f>IF('tips dataset'!$B48="Yes",1,0)</f>
        <v>0</v>
      </c>
      <c r="D48">
        <f>IF('tips dataset'!$B48="No",1,0)</f>
        <v>1</v>
      </c>
      <c r="E48">
        <f>IF('tips dataset'!$C48="Sat",1,0)</f>
        <v>0</v>
      </c>
      <c r="F48">
        <f>IF('tips dataset'!$C48="fri",1,0)</f>
        <v>0</v>
      </c>
      <c r="G48">
        <f>IF('tips dataset'!$C48="Sun",1,0)</f>
        <v>0</v>
      </c>
      <c r="H48">
        <f>IF('tips dataset'!$D48="Lunch",1,0)</f>
        <v>1</v>
      </c>
      <c r="I48">
        <f>IF('tips dataset'!$D48="Dinner",1,0)</f>
        <v>0</v>
      </c>
      <c r="J48">
        <f>'tips dataset'!$E48</f>
        <v>2</v>
      </c>
      <c r="K48">
        <v>22.23</v>
      </c>
      <c r="L48">
        <v>5</v>
      </c>
      <c r="M48" s="12">
        <f t="shared" si="0"/>
        <v>0.22492127755285649</v>
      </c>
      <c r="N48" s="11">
        <f t="shared" si="1"/>
        <v>11.115</v>
      </c>
      <c r="O48" s="11">
        <f t="shared" si="2"/>
        <v>2.5</v>
      </c>
      <c r="P48">
        <f>IF('tips dataset'!$C48="thur",1,0)</f>
        <v>1</v>
      </c>
      <c r="Q48" t="str">
        <f t="shared" si="3"/>
        <v>Medium</v>
      </c>
    </row>
    <row r="49" spans="1:17" x14ac:dyDescent="0.3">
      <c r="A49">
        <f>IF('tips dataset'!$A49="Male",1,0)</f>
        <v>1</v>
      </c>
      <c r="B49">
        <f>IF('tips dataset'!$A49="Female",1,0)</f>
        <v>0</v>
      </c>
      <c r="C49">
        <f>IF('tips dataset'!$B49="Yes",1,0)</f>
        <v>0</v>
      </c>
      <c r="D49">
        <f>IF('tips dataset'!$B49="No",1,0)</f>
        <v>1</v>
      </c>
      <c r="E49">
        <f>IF('tips dataset'!$C49="Sat",1,0)</f>
        <v>0</v>
      </c>
      <c r="F49">
        <f>IF('tips dataset'!$C49="fri",1,0)</f>
        <v>0</v>
      </c>
      <c r="G49">
        <f>IF('tips dataset'!$C49="Sun",1,0)</f>
        <v>1</v>
      </c>
      <c r="H49">
        <f>IF('tips dataset'!$D49="Lunch",1,0)</f>
        <v>0</v>
      </c>
      <c r="I49">
        <f>IF('tips dataset'!$D49="Dinner",1,0)</f>
        <v>1</v>
      </c>
      <c r="J49">
        <f>'tips dataset'!$E49</f>
        <v>2</v>
      </c>
      <c r="K49">
        <v>32.4</v>
      </c>
      <c r="L49">
        <v>6</v>
      </c>
      <c r="M49" s="12">
        <f t="shared" si="0"/>
        <v>0.1851851851851852</v>
      </c>
      <c r="N49" s="11">
        <f t="shared" si="1"/>
        <v>16.2</v>
      </c>
      <c r="O49" s="11">
        <f t="shared" si="2"/>
        <v>3</v>
      </c>
      <c r="P49">
        <f>IF('tips dataset'!$C49="thur",1,0)</f>
        <v>0</v>
      </c>
      <c r="Q49" t="str">
        <f t="shared" si="3"/>
        <v>High</v>
      </c>
    </row>
    <row r="50" spans="1:17" x14ac:dyDescent="0.3">
      <c r="A50">
        <f>IF('tips dataset'!$A50="Male",1,0)</f>
        <v>1</v>
      </c>
      <c r="B50">
        <f>IF('tips dataset'!$A50="Female",1,0)</f>
        <v>0</v>
      </c>
      <c r="C50">
        <f>IF('tips dataset'!$B50="Yes",1,0)</f>
        <v>1</v>
      </c>
      <c r="D50">
        <f>IF('tips dataset'!$B50="No",1,0)</f>
        <v>0</v>
      </c>
      <c r="E50">
        <f>IF('tips dataset'!$C50="Sat",1,0)</f>
        <v>1</v>
      </c>
      <c r="F50">
        <f>IF('tips dataset'!$C50="fri",1,0)</f>
        <v>0</v>
      </c>
      <c r="G50">
        <f>IF('tips dataset'!$C50="Sun",1,0)</f>
        <v>0</v>
      </c>
      <c r="H50">
        <f>IF('tips dataset'!$D50="Lunch",1,0)</f>
        <v>0</v>
      </c>
      <c r="I50">
        <f>IF('tips dataset'!$D50="Dinner",1,0)</f>
        <v>1</v>
      </c>
      <c r="J50">
        <f>'tips dataset'!$E50</f>
        <v>2</v>
      </c>
      <c r="K50">
        <v>28.55</v>
      </c>
      <c r="L50">
        <v>2.0499999999999998</v>
      </c>
      <c r="M50" s="12">
        <f t="shared" si="0"/>
        <v>7.1803852889667244E-2</v>
      </c>
      <c r="N50" s="11">
        <f t="shared" si="1"/>
        <v>14.275</v>
      </c>
      <c r="O50" s="11">
        <f t="shared" si="2"/>
        <v>1.0249999999999999</v>
      </c>
      <c r="P50">
        <f>IF('tips dataset'!$C50="thur",1,0)</f>
        <v>0</v>
      </c>
      <c r="Q50" t="str">
        <f t="shared" si="3"/>
        <v>High</v>
      </c>
    </row>
    <row r="51" spans="1:17" x14ac:dyDescent="0.3">
      <c r="A51">
        <f>IF('tips dataset'!$A51="Male",1,0)</f>
        <v>1</v>
      </c>
      <c r="B51">
        <f>IF('tips dataset'!$A51="Female",1,0)</f>
        <v>0</v>
      </c>
      <c r="C51">
        <f>IF('tips dataset'!$B51="Yes",1,0)</f>
        <v>0</v>
      </c>
      <c r="D51">
        <f>IF('tips dataset'!$B51="No",1,0)</f>
        <v>1</v>
      </c>
      <c r="E51">
        <f>IF('tips dataset'!$C51="Sat",1,0)</f>
        <v>0</v>
      </c>
      <c r="F51">
        <f>IF('tips dataset'!$C51="fri",1,0)</f>
        <v>0</v>
      </c>
      <c r="G51">
        <f>IF('tips dataset'!$C51="Sun",1,0)</f>
        <v>1</v>
      </c>
      <c r="H51">
        <f>IF('tips dataset'!$D51="Lunch",1,0)</f>
        <v>0</v>
      </c>
      <c r="I51">
        <f>IF('tips dataset'!$D51="Dinner",1,0)</f>
        <v>1</v>
      </c>
      <c r="J51">
        <f>'tips dataset'!$E51</f>
        <v>2</v>
      </c>
      <c r="K51">
        <v>18.04</v>
      </c>
      <c r="L51">
        <v>3</v>
      </c>
      <c r="M51" s="12">
        <f t="shared" si="0"/>
        <v>0.16629711751662973</v>
      </c>
      <c r="N51" s="11">
        <f t="shared" si="1"/>
        <v>9.02</v>
      </c>
      <c r="O51" s="11">
        <f t="shared" si="2"/>
        <v>1.5</v>
      </c>
      <c r="P51">
        <f>IF('tips dataset'!$C51="thur",1,0)</f>
        <v>0</v>
      </c>
      <c r="Q51" t="str">
        <f t="shared" si="3"/>
        <v>Medium</v>
      </c>
    </row>
    <row r="52" spans="1:17" x14ac:dyDescent="0.3">
      <c r="A52">
        <f>IF('tips dataset'!$A52="Male",1,0)</f>
        <v>1</v>
      </c>
      <c r="B52">
        <f>IF('tips dataset'!$A52="Female",1,0)</f>
        <v>0</v>
      </c>
      <c r="C52">
        <f>IF('tips dataset'!$B52="Yes",1,0)</f>
        <v>0</v>
      </c>
      <c r="D52">
        <f>IF('tips dataset'!$B52="No",1,0)</f>
        <v>1</v>
      </c>
      <c r="E52">
        <f>IF('tips dataset'!$C52="Sat",1,0)</f>
        <v>1</v>
      </c>
      <c r="F52">
        <f>IF('tips dataset'!$C52="fri",1,0)</f>
        <v>0</v>
      </c>
      <c r="G52">
        <f>IF('tips dataset'!$C52="Sun",1,0)</f>
        <v>0</v>
      </c>
      <c r="H52">
        <f>IF('tips dataset'!$D52="Lunch",1,0)</f>
        <v>0</v>
      </c>
      <c r="I52">
        <f>IF('tips dataset'!$D52="Dinner",1,0)</f>
        <v>1</v>
      </c>
      <c r="J52">
        <f>'tips dataset'!$E52</f>
        <v>2</v>
      </c>
      <c r="K52">
        <v>12.54</v>
      </c>
      <c r="L52">
        <v>2.5</v>
      </c>
      <c r="M52" s="12">
        <f t="shared" si="0"/>
        <v>0.19936204146730463</v>
      </c>
      <c r="N52" s="11">
        <f t="shared" si="1"/>
        <v>6.27</v>
      </c>
      <c r="O52" s="11">
        <f t="shared" si="2"/>
        <v>1.25</v>
      </c>
      <c r="P52">
        <f>IF('tips dataset'!$C52="thur",1,0)</f>
        <v>0</v>
      </c>
      <c r="Q52" t="str">
        <f t="shared" si="3"/>
        <v>Low</v>
      </c>
    </row>
    <row r="53" spans="1:17" x14ac:dyDescent="0.3">
      <c r="A53">
        <f>IF('tips dataset'!$A53="Male",1,0)</f>
        <v>0</v>
      </c>
      <c r="B53">
        <f>IF('tips dataset'!$A53="Female",1,0)</f>
        <v>1</v>
      </c>
      <c r="C53">
        <f>IF('tips dataset'!$B53="Yes",1,0)</f>
        <v>1</v>
      </c>
      <c r="D53">
        <f>IF('tips dataset'!$B53="No",1,0)</f>
        <v>0</v>
      </c>
      <c r="E53">
        <f>IF('tips dataset'!$C53="Sat",1,0)</f>
        <v>0</v>
      </c>
      <c r="F53">
        <f>IF('tips dataset'!$C53="fri",1,0)</f>
        <v>0</v>
      </c>
      <c r="G53">
        <f>IF('tips dataset'!$C53="Sun",1,0)</f>
        <v>0</v>
      </c>
      <c r="H53">
        <f>IF('tips dataset'!$D53="Lunch",1,0)</f>
        <v>1</v>
      </c>
      <c r="I53">
        <f>IF('tips dataset'!$D53="Dinner",1,0)</f>
        <v>0</v>
      </c>
      <c r="J53">
        <f>'tips dataset'!$E53</f>
        <v>2</v>
      </c>
      <c r="K53">
        <v>10.29</v>
      </c>
      <c r="L53">
        <v>2.6</v>
      </c>
      <c r="M53" s="12">
        <f t="shared" si="0"/>
        <v>0.25267249757045679</v>
      </c>
      <c r="N53" s="11">
        <f t="shared" si="1"/>
        <v>5.1449999999999996</v>
      </c>
      <c r="O53" s="11">
        <f t="shared" si="2"/>
        <v>1.3</v>
      </c>
      <c r="P53">
        <f>IF('tips dataset'!$C53="thur",1,0)</f>
        <v>1</v>
      </c>
      <c r="Q53" t="str">
        <f t="shared" si="3"/>
        <v>Low</v>
      </c>
    </row>
    <row r="54" spans="1:17" x14ac:dyDescent="0.3">
      <c r="A54">
        <f>IF('tips dataset'!$A54="Male",1,0)</f>
        <v>0</v>
      </c>
      <c r="B54">
        <f>IF('tips dataset'!$A54="Female",1,0)</f>
        <v>1</v>
      </c>
      <c r="C54">
        <f>IF('tips dataset'!$B54="Yes",1,0)</f>
        <v>1</v>
      </c>
      <c r="D54">
        <f>IF('tips dataset'!$B54="No",1,0)</f>
        <v>0</v>
      </c>
      <c r="E54">
        <f>IF('tips dataset'!$C54="Sat",1,0)</f>
        <v>1</v>
      </c>
      <c r="F54">
        <f>IF('tips dataset'!$C54="fri",1,0)</f>
        <v>0</v>
      </c>
      <c r="G54">
        <f>IF('tips dataset'!$C54="Sun",1,0)</f>
        <v>0</v>
      </c>
      <c r="H54">
        <f>IF('tips dataset'!$D54="Lunch",1,0)</f>
        <v>0</v>
      </c>
      <c r="I54">
        <f>IF('tips dataset'!$D54="Dinner",1,0)</f>
        <v>1</v>
      </c>
      <c r="J54">
        <f>'tips dataset'!$E54</f>
        <v>2</v>
      </c>
      <c r="K54">
        <v>34.81</v>
      </c>
      <c r="L54">
        <v>5.2</v>
      </c>
      <c r="M54" s="12">
        <f t="shared" si="0"/>
        <v>0.14938236139040506</v>
      </c>
      <c r="N54" s="11">
        <f t="shared" si="1"/>
        <v>17.405000000000001</v>
      </c>
      <c r="O54" s="11">
        <f t="shared" si="2"/>
        <v>2.6</v>
      </c>
      <c r="P54">
        <f>IF('tips dataset'!$C54="thur",1,0)</f>
        <v>0</v>
      </c>
      <c r="Q54" t="str">
        <f t="shared" si="3"/>
        <v>High</v>
      </c>
    </row>
    <row r="55" spans="1:17" x14ac:dyDescent="0.3">
      <c r="A55">
        <f>IF('tips dataset'!$A55="Male",1,0)</f>
        <v>0</v>
      </c>
      <c r="B55">
        <f>IF('tips dataset'!$A55="Female",1,0)</f>
        <v>1</v>
      </c>
      <c r="C55">
        <f>IF('tips dataset'!$B55="Yes",1,0)</f>
        <v>1</v>
      </c>
      <c r="D55">
        <f>IF('tips dataset'!$B55="No",1,0)</f>
        <v>0</v>
      </c>
      <c r="E55">
        <f>IF('tips dataset'!$C55="Sat",1,0)</f>
        <v>1</v>
      </c>
      <c r="F55">
        <f>IF('tips dataset'!$C55="fri",1,0)</f>
        <v>0</v>
      </c>
      <c r="G55">
        <f>IF('tips dataset'!$C55="Sun",1,0)</f>
        <v>0</v>
      </c>
      <c r="H55">
        <f>IF('tips dataset'!$D55="Lunch",1,0)</f>
        <v>0</v>
      </c>
      <c r="I55">
        <f>IF('tips dataset'!$D55="Dinner",1,0)</f>
        <v>1</v>
      </c>
      <c r="J55">
        <f>'tips dataset'!$E55</f>
        <v>2</v>
      </c>
      <c r="K55">
        <v>9.94</v>
      </c>
      <c r="L55">
        <v>1.56</v>
      </c>
      <c r="M55" s="12">
        <f t="shared" si="0"/>
        <v>0.15694164989939638</v>
      </c>
      <c r="N55" s="11">
        <f t="shared" si="1"/>
        <v>4.97</v>
      </c>
      <c r="O55" s="11">
        <f t="shared" si="2"/>
        <v>0.78</v>
      </c>
      <c r="P55">
        <f>IF('tips dataset'!$C55="thur",1,0)</f>
        <v>0</v>
      </c>
      <c r="Q55" t="str">
        <f t="shared" si="3"/>
        <v>Low</v>
      </c>
    </row>
    <row r="56" spans="1:17" x14ac:dyDescent="0.3">
      <c r="A56">
        <f>IF('tips dataset'!$A56="Male",1,0)</f>
        <v>0</v>
      </c>
      <c r="B56">
        <f>IF('tips dataset'!$A56="Female",1,0)</f>
        <v>1</v>
      </c>
      <c r="C56">
        <f>IF('tips dataset'!$B56="Yes",1,0)</f>
        <v>1</v>
      </c>
      <c r="D56">
        <f>IF('tips dataset'!$B56="No",1,0)</f>
        <v>0</v>
      </c>
      <c r="E56">
        <f>IF('tips dataset'!$C56="Sat",1,0)</f>
        <v>0</v>
      </c>
      <c r="F56">
        <f>IF('tips dataset'!$C56="fri",1,0)</f>
        <v>0</v>
      </c>
      <c r="G56">
        <f>IF('tips dataset'!$C56="Sun",1,0)</f>
        <v>0</v>
      </c>
      <c r="H56">
        <f>IF('tips dataset'!$D56="Lunch",1,0)</f>
        <v>1</v>
      </c>
      <c r="I56">
        <f>IF('tips dataset'!$D56="Dinner",1,0)</f>
        <v>0</v>
      </c>
      <c r="J56">
        <f>'tips dataset'!$E56</f>
        <v>2</v>
      </c>
      <c r="K56">
        <v>25.56</v>
      </c>
      <c r="L56">
        <v>4.34</v>
      </c>
      <c r="M56" s="12">
        <f t="shared" si="0"/>
        <v>0.16979655712050079</v>
      </c>
      <c r="N56" s="11">
        <f t="shared" si="1"/>
        <v>12.78</v>
      </c>
      <c r="O56" s="11">
        <f t="shared" si="2"/>
        <v>2.17</v>
      </c>
      <c r="P56">
        <f>IF('tips dataset'!$C56="thur",1,0)</f>
        <v>1</v>
      </c>
      <c r="Q56" t="str">
        <f t="shared" si="3"/>
        <v>High</v>
      </c>
    </row>
    <row r="57" spans="1:17" x14ac:dyDescent="0.3">
      <c r="A57">
        <f>IF('tips dataset'!$A57="Male",1,0)</f>
        <v>1</v>
      </c>
      <c r="B57">
        <f>IF('tips dataset'!$A57="Female",1,0)</f>
        <v>0</v>
      </c>
      <c r="C57">
        <f>IF('tips dataset'!$B57="Yes",1,0)</f>
        <v>0</v>
      </c>
      <c r="D57">
        <f>IF('tips dataset'!$B57="No",1,0)</f>
        <v>1</v>
      </c>
      <c r="E57">
        <f>IF('tips dataset'!$C57="Sat",1,0)</f>
        <v>0</v>
      </c>
      <c r="F57">
        <f>IF('tips dataset'!$C57="fri",1,0)</f>
        <v>0</v>
      </c>
      <c r="G57">
        <f>IF('tips dataset'!$C57="Sun",1,0)</f>
        <v>0</v>
      </c>
      <c r="H57">
        <f>IF('tips dataset'!$D57="Lunch",1,0)</f>
        <v>1</v>
      </c>
      <c r="I57">
        <f>IF('tips dataset'!$D57="Dinner",1,0)</f>
        <v>0</v>
      </c>
      <c r="J57">
        <f>'tips dataset'!$E57</f>
        <v>2</v>
      </c>
      <c r="K57">
        <v>19.489999999999998</v>
      </c>
      <c r="L57">
        <v>3.51</v>
      </c>
      <c r="M57" s="12">
        <f t="shared" si="0"/>
        <v>0.18009235505387378</v>
      </c>
      <c r="N57" s="11">
        <f t="shared" si="1"/>
        <v>9.7449999999999992</v>
      </c>
      <c r="O57" s="11">
        <f t="shared" si="2"/>
        <v>1.7549999999999999</v>
      </c>
      <c r="P57">
        <f>IF('tips dataset'!$C57="thur",1,0)</f>
        <v>1</v>
      </c>
      <c r="Q57" t="str">
        <f t="shared" si="3"/>
        <v>Medium</v>
      </c>
    </row>
    <row r="58" spans="1:17" x14ac:dyDescent="0.3">
      <c r="A58">
        <f>IF('tips dataset'!$A58="Male",1,0)</f>
        <v>1</v>
      </c>
      <c r="B58">
        <f>IF('tips dataset'!$A58="Female",1,0)</f>
        <v>0</v>
      </c>
      <c r="C58">
        <f>IF('tips dataset'!$B58="Yes",1,0)</f>
        <v>0</v>
      </c>
      <c r="D58">
        <f>IF('tips dataset'!$B58="No",1,0)</f>
        <v>1</v>
      </c>
      <c r="E58">
        <f>IF('tips dataset'!$C58="Sat",1,0)</f>
        <v>0</v>
      </c>
      <c r="F58">
        <f>IF('tips dataset'!$C58="fri",1,0)</f>
        <v>0</v>
      </c>
      <c r="G58">
        <f>IF('tips dataset'!$C58="Sun",1,0)</f>
        <v>1</v>
      </c>
      <c r="H58">
        <f>IF('tips dataset'!$D58="Lunch",1,0)</f>
        <v>0</v>
      </c>
      <c r="I58">
        <f>IF('tips dataset'!$D58="Dinner",1,0)</f>
        <v>1</v>
      </c>
      <c r="J58">
        <f>'tips dataset'!$E58</f>
        <v>2</v>
      </c>
      <c r="K58">
        <v>38.01</v>
      </c>
      <c r="L58">
        <v>3</v>
      </c>
      <c r="M58" s="12">
        <f t="shared" si="0"/>
        <v>7.8926598263614839E-2</v>
      </c>
      <c r="N58" s="11">
        <f t="shared" si="1"/>
        <v>19.004999999999999</v>
      </c>
      <c r="O58" s="11">
        <f t="shared" si="2"/>
        <v>1.5</v>
      </c>
      <c r="P58">
        <f>IF('tips dataset'!$C58="thur",1,0)</f>
        <v>0</v>
      </c>
      <c r="Q58" t="str">
        <f t="shared" si="3"/>
        <v>Premium</v>
      </c>
    </row>
    <row r="59" spans="1:17" x14ac:dyDescent="0.3">
      <c r="A59">
        <f>IF('tips dataset'!$A59="Male",1,0)</f>
        <v>0</v>
      </c>
      <c r="B59">
        <f>IF('tips dataset'!$A59="Female",1,0)</f>
        <v>1</v>
      </c>
      <c r="C59">
        <f>IF('tips dataset'!$B59="Yes",1,0)</f>
        <v>0</v>
      </c>
      <c r="D59">
        <f>IF('tips dataset'!$B59="No",1,0)</f>
        <v>1</v>
      </c>
      <c r="E59">
        <f>IF('tips dataset'!$C59="Sat",1,0)</f>
        <v>0</v>
      </c>
      <c r="F59">
        <f>IF('tips dataset'!$C59="fri",1,0)</f>
        <v>0</v>
      </c>
      <c r="G59">
        <f>IF('tips dataset'!$C59="Sun",1,0)</f>
        <v>0</v>
      </c>
      <c r="H59">
        <f>IF('tips dataset'!$D59="Lunch",1,0)</f>
        <v>1</v>
      </c>
      <c r="I59">
        <f>IF('tips dataset'!$D59="Dinner",1,0)</f>
        <v>0</v>
      </c>
      <c r="J59">
        <f>'tips dataset'!$E59</f>
        <v>2</v>
      </c>
      <c r="K59">
        <v>26.41</v>
      </c>
      <c r="L59">
        <v>1.5</v>
      </c>
      <c r="M59" s="12">
        <f t="shared" si="0"/>
        <v>5.679666792881484E-2</v>
      </c>
      <c r="N59" s="11">
        <f t="shared" si="1"/>
        <v>13.205</v>
      </c>
      <c r="O59" s="11">
        <f t="shared" si="2"/>
        <v>0.75</v>
      </c>
      <c r="P59">
        <f>IF('tips dataset'!$C59="thur",1,0)</f>
        <v>1</v>
      </c>
      <c r="Q59" t="str">
        <f t="shared" si="3"/>
        <v>High</v>
      </c>
    </row>
    <row r="60" spans="1:17" x14ac:dyDescent="0.3">
      <c r="A60">
        <f>IF('tips dataset'!$A60="Male",1,0)</f>
        <v>0</v>
      </c>
      <c r="B60">
        <f>IF('tips dataset'!$A60="Female",1,0)</f>
        <v>1</v>
      </c>
      <c r="C60">
        <f>IF('tips dataset'!$B60="Yes",1,0)</f>
        <v>1</v>
      </c>
      <c r="D60">
        <f>IF('tips dataset'!$B60="No",1,0)</f>
        <v>0</v>
      </c>
      <c r="E60">
        <f>IF('tips dataset'!$C60="Sat",1,0)</f>
        <v>1</v>
      </c>
      <c r="F60">
        <f>IF('tips dataset'!$C60="fri",1,0)</f>
        <v>0</v>
      </c>
      <c r="G60">
        <f>IF('tips dataset'!$C60="Sun",1,0)</f>
        <v>0</v>
      </c>
      <c r="H60">
        <f>IF('tips dataset'!$D60="Lunch",1,0)</f>
        <v>0</v>
      </c>
      <c r="I60">
        <f>IF('tips dataset'!$D60="Dinner",1,0)</f>
        <v>1</v>
      </c>
      <c r="J60">
        <f>'tips dataset'!$E60</f>
        <v>2</v>
      </c>
      <c r="K60">
        <v>11.24</v>
      </c>
      <c r="L60">
        <v>1.76</v>
      </c>
      <c r="M60" s="12">
        <f t="shared" si="0"/>
        <v>0.15658362989323843</v>
      </c>
      <c r="N60" s="11">
        <f t="shared" si="1"/>
        <v>5.62</v>
      </c>
      <c r="O60" s="11">
        <f t="shared" si="2"/>
        <v>0.88</v>
      </c>
      <c r="P60">
        <f>IF('tips dataset'!$C60="thur",1,0)</f>
        <v>0</v>
      </c>
      <c r="Q60" t="str">
        <f t="shared" si="3"/>
        <v>Low</v>
      </c>
    </row>
    <row r="61" spans="1:17" x14ac:dyDescent="0.3">
      <c r="A61">
        <f>IF('tips dataset'!$A61="Male",1,0)</f>
        <v>1</v>
      </c>
      <c r="B61">
        <f>IF('tips dataset'!$A61="Female",1,0)</f>
        <v>0</v>
      </c>
      <c r="C61">
        <f>IF('tips dataset'!$B61="Yes",1,0)</f>
        <v>0</v>
      </c>
      <c r="D61">
        <f>IF('tips dataset'!$B61="No",1,0)</f>
        <v>1</v>
      </c>
      <c r="E61">
        <f>IF('tips dataset'!$C61="Sat",1,0)</f>
        <v>1</v>
      </c>
      <c r="F61">
        <f>IF('tips dataset'!$C61="fri",1,0)</f>
        <v>0</v>
      </c>
      <c r="G61">
        <f>IF('tips dataset'!$C61="Sun",1,0)</f>
        <v>0</v>
      </c>
      <c r="H61">
        <f>IF('tips dataset'!$D61="Lunch",1,0)</f>
        <v>0</v>
      </c>
      <c r="I61">
        <f>IF('tips dataset'!$D61="Dinner",1,0)</f>
        <v>1</v>
      </c>
      <c r="J61">
        <f>'tips dataset'!$E61</f>
        <v>2</v>
      </c>
      <c r="K61">
        <v>48.27</v>
      </c>
      <c r="L61">
        <v>6.73</v>
      </c>
      <c r="M61" s="12">
        <f t="shared" si="0"/>
        <v>0.13942407292314066</v>
      </c>
      <c r="N61" s="11">
        <f t="shared" si="1"/>
        <v>24.135000000000002</v>
      </c>
      <c r="O61" s="11">
        <f t="shared" si="2"/>
        <v>3.3650000000000002</v>
      </c>
      <c r="P61">
        <f>IF('tips dataset'!$C61="thur",1,0)</f>
        <v>0</v>
      </c>
      <c r="Q61" t="str">
        <f t="shared" si="3"/>
        <v>Premium</v>
      </c>
    </row>
    <row r="62" spans="1:17" x14ac:dyDescent="0.3">
      <c r="A62">
        <f>IF('tips dataset'!$A62="Male",1,0)</f>
        <v>1</v>
      </c>
      <c r="B62">
        <f>IF('tips dataset'!$A62="Female",1,0)</f>
        <v>0</v>
      </c>
      <c r="C62">
        <f>IF('tips dataset'!$B62="Yes",1,0)</f>
        <v>0</v>
      </c>
      <c r="D62">
        <f>IF('tips dataset'!$B62="No",1,0)</f>
        <v>1</v>
      </c>
      <c r="E62">
        <f>IF('tips dataset'!$C62="Sat",1,0)</f>
        <v>1</v>
      </c>
      <c r="F62">
        <f>IF('tips dataset'!$C62="fri",1,0)</f>
        <v>0</v>
      </c>
      <c r="G62">
        <f>IF('tips dataset'!$C62="Sun",1,0)</f>
        <v>0</v>
      </c>
      <c r="H62">
        <f>IF('tips dataset'!$D62="Lunch",1,0)</f>
        <v>0</v>
      </c>
      <c r="I62">
        <f>IF('tips dataset'!$D62="Dinner",1,0)</f>
        <v>1</v>
      </c>
      <c r="J62">
        <f>'tips dataset'!$E62</f>
        <v>2</v>
      </c>
      <c r="K62">
        <v>20.29</v>
      </c>
      <c r="L62">
        <v>3.21</v>
      </c>
      <c r="M62" s="12">
        <f t="shared" si="0"/>
        <v>0.15820601281419419</v>
      </c>
      <c r="N62" s="11">
        <f t="shared" si="1"/>
        <v>10.145</v>
      </c>
      <c r="O62" s="11">
        <f t="shared" si="2"/>
        <v>1.605</v>
      </c>
      <c r="P62">
        <f>IF('tips dataset'!$C62="thur",1,0)</f>
        <v>0</v>
      </c>
      <c r="Q62" t="str">
        <f t="shared" si="3"/>
        <v>Medium</v>
      </c>
    </row>
    <row r="63" spans="1:17" x14ac:dyDescent="0.3">
      <c r="A63">
        <f>IF('tips dataset'!$A63="Male",1,0)</f>
        <v>0</v>
      </c>
      <c r="B63">
        <f>IF('tips dataset'!$A63="Female",1,0)</f>
        <v>1</v>
      </c>
      <c r="C63">
        <f>IF('tips dataset'!$B63="Yes",1,0)</f>
        <v>0</v>
      </c>
      <c r="D63">
        <f>IF('tips dataset'!$B63="No",1,0)</f>
        <v>1</v>
      </c>
      <c r="E63">
        <f>IF('tips dataset'!$C63="Sat",1,0)</f>
        <v>0</v>
      </c>
      <c r="F63">
        <f>IF('tips dataset'!$C63="fri",1,0)</f>
        <v>0</v>
      </c>
      <c r="G63">
        <f>IF('tips dataset'!$C63="Sun",1,0)</f>
        <v>1</v>
      </c>
      <c r="H63">
        <f>IF('tips dataset'!$D63="Lunch",1,0)</f>
        <v>0</v>
      </c>
      <c r="I63">
        <f>IF('tips dataset'!$D63="Dinner",1,0)</f>
        <v>1</v>
      </c>
      <c r="J63">
        <f>'tips dataset'!$E63</f>
        <v>2</v>
      </c>
      <c r="K63">
        <v>13.81</v>
      </c>
      <c r="L63">
        <v>2</v>
      </c>
      <c r="M63" s="12">
        <f t="shared" si="0"/>
        <v>0.14482259232440259</v>
      </c>
      <c r="N63" s="11">
        <f t="shared" si="1"/>
        <v>6.9050000000000002</v>
      </c>
      <c r="O63" s="11">
        <f t="shared" si="2"/>
        <v>1</v>
      </c>
      <c r="P63">
        <f>IF('tips dataset'!$C63="thur",1,0)</f>
        <v>0</v>
      </c>
      <c r="Q63" t="str">
        <f t="shared" si="3"/>
        <v>Low</v>
      </c>
    </row>
    <row r="64" spans="1:17" x14ac:dyDescent="0.3">
      <c r="A64">
        <f>IF('tips dataset'!$A64="Male",1,0)</f>
        <v>0</v>
      </c>
      <c r="B64">
        <f>IF('tips dataset'!$A64="Female",1,0)</f>
        <v>1</v>
      </c>
      <c r="C64">
        <f>IF('tips dataset'!$B64="Yes",1,0)</f>
        <v>0</v>
      </c>
      <c r="D64">
        <f>IF('tips dataset'!$B64="No",1,0)</f>
        <v>1</v>
      </c>
      <c r="E64">
        <f>IF('tips dataset'!$C64="Sat",1,0)</f>
        <v>0</v>
      </c>
      <c r="F64">
        <f>IF('tips dataset'!$C64="fri",1,0)</f>
        <v>0</v>
      </c>
      <c r="G64">
        <f>IF('tips dataset'!$C64="Sun",1,0)</f>
        <v>0</v>
      </c>
      <c r="H64">
        <f>IF('tips dataset'!$D64="Lunch",1,0)</f>
        <v>1</v>
      </c>
      <c r="I64">
        <f>IF('tips dataset'!$D64="Dinner",1,0)</f>
        <v>0</v>
      </c>
      <c r="J64">
        <f>'tips dataset'!$E64</f>
        <v>2</v>
      </c>
      <c r="K64">
        <v>11.02</v>
      </c>
      <c r="L64">
        <v>1.98</v>
      </c>
      <c r="M64" s="12">
        <f t="shared" si="0"/>
        <v>0.17967332123411978</v>
      </c>
      <c r="N64" s="11">
        <f t="shared" si="1"/>
        <v>5.51</v>
      </c>
      <c r="O64" s="11">
        <f t="shared" si="2"/>
        <v>0.99</v>
      </c>
      <c r="P64">
        <f>IF('tips dataset'!$C64="thur",1,0)</f>
        <v>1</v>
      </c>
      <c r="Q64" t="str">
        <f t="shared" si="3"/>
        <v>Low</v>
      </c>
    </row>
    <row r="65" spans="1:17" x14ac:dyDescent="0.3">
      <c r="A65">
        <f>IF('tips dataset'!$A65="Male",1,0)</f>
        <v>0</v>
      </c>
      <c r="B65">
        <f>IF('tips dataset'!$A65="Female",1,0)</f>
        <v>1</v>
      </c>
      <c r="C65">
        <f>IF('tips dataset'!$B65="Yes",1,0)</f>
        <v>1</v>
      </c>
      <c r="D65">
        <f>IF('tips dataset'!$B65="No",1,0)</f>
        <v>0</v>
      </c>
      <c r="E65">
        <f>IF('tips dataset'!$C65="Sat",1,0)</f>
        <v>0</v>
      </c>
      <c r="F65">
        <f>IF('tips dataset'!$C65="fri",1,0)</f>
        <v>1</v>
      </c>
      <c r="G65">
        <f>IF('tips dataset'!$C65="Sun",1,0)</f>
        <v>0</v>
      </c>
      <c r="H65">
        <f>IF('tips dataset'!$D65="Lunch",1,0)</f>
        <v>1</v>
      </c>
      <c r="I65">
        <f>IF('tips dataset'!$D65="Dinner",1,0)</f>
        <v>0</v>
      </c>
      <c r="J65">
        <f>'tips dataset'!$E65</f>
        <v>2</v>
      </c>
      <c r="K65">
        <v>18.29</v>
      </c>
      <c r="L65">
        <v>3.76</v>
      </c>
      <c r="M65" s="12">
        <f t="shared" si="0"/>
        <v>0.20557681793329688</v>
      </c>
      <c r="N65" s="11">
        <f t="shared" si="1"/>
        <v>9.1449999999999996</v>
      </c>
      <c r="O65" s="11">
        <f t="shared" si="2"/>
        <v>1.88</v>
      </c>
      <c r="P65">
        <f>IF('tips dataset'!$C65="thur",1,0)</f>
        <v>0</v>
      </c>
      <c r="Q65" t="str">
        <f t="shared" si="3"/>
        <v>Medium</v>
      </c>
    </row>
    <row r="66" spans="1:17" x14ac:dyDescent="0.3">
      <c r="A66">
        <f>IF('tips dataset'!$A66="Male",1,0)</f>
        <v>1</v>
      </c>
      <c r="B66">
        <f>IF('tips dataset'!$A66="Female",1,0)</f>
        <v>0</v>
      </c>
      <c r="C66">
        <f>IF('tips dataset'!$B66="Yes",1,0)</f>
        <v>1</v>
      </c>
      <c r="D66">
        <f>IF('tips dataset'!$B66="No",1,0)</f>
        <v>0</v>
      </c>
      <c r="E66">
        <f>IF('tips dataset'!$C66="Sat",1,0)</f>
        <v>0</v>
      </c>
      <c r="F66">
        <f>IF('tips dataset'!$C66="fri",1,0)</f>
        <v>1</v>
      </c>
      <c r="G66">
        <f>IF('tips dataset'!$C66="Sun",1,0)</f>
        <v>0</v>
      </c>
      <c r="H66">
        <f>IF('tips dataset'!$D66="Lunch",1,0)</f>
        <v>1</v>
      </c>
      <c r="I66">
        <f>IF('tips dataset'!$D66="Dinner",1,0)</f>
        <v>0</v>
      </c>
      <c r="J66">
        <f>'tips dataset'!$E66</f>
        <v>2</v>
      </c>
      <c r="K66">
        <v>17.59</v>
      </c>
      <c r="L66">
        <v>2.64</v>
      </c>
      <c r="M66" s="12">
        <f t="shared" si="0"/>
        <v>0.15008527572484368</v>
      </c>
      <c r="N66" s="11">
        <f t="shared" si="1"/>
        <v>8.7949999999999999</v>
      </c>
      <c r="O66" s="11">
        <f t="shared" si="2"/>
        <v>1.32</v>
      </c>
      <c r="P66">
        <f>IF('tips dataset'!$C66="thur",1,0)</f>
        <v>0</v>
      </c>
      <c r="Q66" t="str">
        <f t="shared" si="3"/>
        <v>Medium</v>
      </c>
    </row>
    <row r="67" spans="1:17" x14ac:dyDescent="0.3">
      <c r="A67">
        <f>IF('tips dataset'!$A67="Male",1,0)</f>
        <v>1</v>
      </c>
      <c r="B67">
        <f>IF('tips dataset'!$A67="Female",1,0)</f>
        <v>0</v>
      </c>
      <c r="C67">
        <f>IF('tips dataset'!$B67="Yes",1,0)</f>
        <v>1</v>
      </c>
      <c r="D67">
        <f>IF('tips dataset'!$B67="No",1,0)</f>
        <v>0</v>
      </c>
      <c r="E67">
        <f>IF('tips dataset'!$C67="Sat",1,0)</f>
        <v>0</v>
      </c>
      <c r="F67">
        <f>IF('tips dataset'!$C67="fri",1,0)</f>
        <v>0</v>
      </c>
      <c r="G67">
        <f>IF('tips dataset'!$C67="Sun",1,0)</f>
        <v>0</v>
      </c>
      <c r="H67">
        <f>IF('tips dataset'!$D67="Lunch",1,0)</f>
        <v>1</v>
      </c>
      <c r="I67">
        <f>IF('tips dataset'!$D67="Dinner",1,0)</f>
        <v>0</v>
      </c>
      <c r="J67">
        <f>'tips dataset'!$E67</f>
        <v>2</v>
      </c>
      <c r="K67">
        <v>20.079999999999998</v>
      </c>
      <c r="L67">
        <v>3.15</v>
      </c>
      <c r="M67" s="12">
        <f t="shared" ref="M67:M130" si="4">L67/K67</f>
        <v>0.15687250996015936</v>
      </c>
      <c r="N67" s="11">
        <f t="shared" ref="N67:N130" si="5">K67/J67</f>
        <v>10.039999999999999</v>
      </c>
      <c r="O67" s="11">
        <f t="shared" ref="O67:O130" si="6">L67/J67</f>
        <v>1.575</v>
      </c>
      <c r="P67">
        <f>IF('tips dataset'!$C67="thur",1,0)</f>
        <v>1</v>
      </c>
      <c r="Q67" t="str">
        <f t="shared" ref="Q67:Q130" si="7">IF(K67&lt;15,"Low",IF(K67&lt;25,"Medium",IF(K67&lt;35,"High","Premium")))</f>
        <v>Medium</v>
      </c>
    </row>
    <row r="68" spans="1:17" x14ac:dyDescent="0.3">
      <c r="A68">
        <f>IF('tips dataset'!$A68="Male",1,0)</f>
        <v>1</v>
      </c>
      <c r="B68">
        <f>IF('tips dataset'!$A68="Female",1,0)</f>
        <v>0</v>
      </c>
      <c r="C68">
        <f>IF('tips dataset'!$B68="Yes",1,0)</f>
        <v>1</v>
      </c>
      <c r="D68">
        <f>IF('tips dataset'!$B68="No",1,0)</f>
        <v>0</v>
      </c>
      <c r="E68">
        <f>IF('tips dataset'!$C68="Sat",1,0)</f>
        <v>1</v>
      </c>
      <c r="F68">
        <f>IF('tips dataset'!$C68="fri",1,0)</f>
        <v>0</v>
      </c>
      <c r="G68">
        <f>IF('tips dataset'!$C68="Sun",1,0)</f>
        <v>0</v>
      </c>
      <c r="H68">
        <f>IF('tips dataset'!$D68="Lunch",1,0)</f>
        <v>0</v>
      </c>
      <c r="I68">
        <f>IF('tips dataset'!$D68="Dinner",1,0)</f>
        <v>1</v>
      </c>
      <c r="J68">
        <f>'tips dataset'!$E68</f>
        <v>2</v>
      </c>
      <c r="K68">
        <v>16.45</v>
      </c>
      <c r="L68">
        <v>2.4700000000000002</v>
      </c>
      <c r="M68" s="12">
        <f t="shared" si="4"/>
        <v>0.1501519756838906</v>
      </c>
      <c r="N68" s="11">
        <f t="shared" si="5"/>
        <v>8.2249999999999996</v>
      </c>
      <c r="O68" s="11">
        <f t="shared" si="6"/>
        <v>1.2350000000000001</v>
      </c>
      <c r="P68">
        <f>IF('tips dataset'!$C68="thur",1,0)</f>
        <v>0</v>
      </c>
      <c r="Q68" t="str">
        <f t="shared" si="7"/>
        <v>Medium</v>
      </c>
    </row>
    <row r="69" spans="1:17" x14ac:dyDescent="0.3">
      <c r="A69">
        <f>IF('tips dataset'!$A69="Male",1,0)</f>
        <v>1</v>
      </c>
      <c r="B69">
        <f>IF('tips dataset'!$A69="Female",1,0)</f>
        <v>0</v>
      </c>
      <c r="C69">
        <f>IF('tips dataset'!$B69="Yes",1,0)</f>
        <v>0</v>
      </c>
      <c r="D69">
        <f>IF('tips dataset'!$B69="No",1,0)</f>
        <v>1</v>
      </c>
      <c r="E69">
        <f>IF('tips dataset'!$C69="Sat",1,0)</f>
        <v>0</v>
      </c>
      <c r="F69">
        <f>IF('tips dataset'!$C69="fri",1,0)</f>
        <v>0</v>
      </c>
      <c r="G69">
        <f>IF('tips dataset'!$C69="Sun",1,0)</f>
        <v>1</v>
      </c>
      <c r="H69">
        <f>IF('tips dataset'!$D69="Lunch",1,0)</f>
        <v>0</v>
      </c>
      <c r="I69">
        <f>IF('tips dataset'!$D69="Dinner",1,0)</f>
        <v>1</v>
      </c>
      <c r="J69">
        <f>'tips dataset'!$E69</f>
        <v>2</v>
      </c>
      <c r="K69">
        <v>3.07</v>
      </c>
      <c r="L69">
        <v>1</v>
      </c>
      <c r="M69" s="12">
        <f t="shared" si="4"/>
        <v>0.32573289902280134</v>
      </c>
      <c r="N69" s="11">
        <f t="shared" si="5"/>
        <v>1.5349999999999999</v>
      </c>
      <c r="O69" s="11">
        <f t="shared" si="6"/>
        <v>0.5</v>
      </c>
      <c r="P69">
        <f>IF('tips dataset'!$C69="thur",1,0)</f>
        <v>0</v>
      </c>
      <c r="Q69" t="str">
        <f t="shared" si="7"/>
        <v>Low</v>
      </c>
    </row>
    <row r="70" spans="1:17" x14ac:dyDescent="0.3">
      <c r="A70">
        <f>IF('tips dataset'!$A70="Male",1,0)</f>
        <v>1</v>
      </c>
      <c r="B70">
        <f>IF('tips dataset'!$A70="Female",1,0)</f>
        <v>0</v>
      </c>
      <c r="C70">
        <f>IF('tips dataset'!$B70="Yes",1,0)</f>
        <v>0</v>
      </c>
      <c r="D70">
        <f>IF('tips dataset'!$B70="No",1,0)</f>
        <v>1</v>
      </c>
      <c r="E70">
        <f>IF('tips dataset'!$C70="Sat",1,0)</f>
        <v>0</v>
      </c>
      <c r="F70">
        <f>IF('tips dataset'!$C70="fri",1,0)</f>
        <v>0</v>
      </c>
      <c r="G70">
        <f>IF('tips dataset'!$C70="Sun",1,0)</f>
        <v>1</v>
      </c>
      <c r="H70">
        <f>IF('tips dataset'!$D70="Lunch",1,0)</f>
        <v>0</v>
      </c>
      <c r="I70">
        <f>IF('tips dataset'!$D70="Dinner",1,0)</f>
        <v>1</v>
      </c>
      <c r="J70">
        <f>'tips dataset'!$E70</f>
        <v>2</v>
      </c>
      <c r="K70">
        <v>20.23</v>
      </c>
      <c r="L70">
        <v>2.0099999999999998</v>
      </c>
      <c r="M70" s="12">
        <f t="shared" si="4"/>
        <v>9.9357390014829447E-2</v>
      </c>
      <c r="N70" s="11">
        <f t="shared" si="5"/>
        <v>10.115</v>
      </c>
      <c r="O70" s="11">
        <f t="shared" si="6"/>
        <v>1.0049999999999999</v>
      </c>
      <c r="P70">
        <f>IF('tips dataset'!$C70="thur",1,0)</f>
        <v>0</v>
      </c>
      <c r="Q70" t="str">
        <f t="shared" si="7"/>
        <v>Medium</v>
      </c>
    </row>
    <row r="71" spans="1:17" x14ac:dyDescent="0.3">
      <c r="A71">
        <f>IF('tips dataset'!$A71="Male",1,0)</f>
        <v>1</v>
      </c>
      <c r="B71">
        <f>IF('tips dataset'!$A71="Female",1,0)</f>
        <v>0</v>
      </c>
      <c r="C71">
        <f>IF('tips dataset'!$B71="Yes",1,0)</f>
        <v>0</v>
      </c>
      <c r="D71">
        <f>IF('tips dataset'!$B71="No",1,0)</f>
        <v>1</v>
      </c>
      <c r="E71">
        <f>IF('tips dataset'!$C71="Sat",1,0)</f>
        <v>1</v>
      </c>
      <c r="F71">
        <f>IF('tips dataset'!$C71="fri",1,0)</f>
        <v>0</v>
      </c>
      <c r="G71">
        <f>IF('tips dataset'!$C71="Sun",1,0)</f>
        <v>0</v>
      </c>
      <c r="H71">
        <f>IF('tips dataset'!$D71="Lunch",1,0)</f>
        <v>0</v>
      </c>
      <c r="I71">
        <f>IF('tips dataset'!$D71="Dinner",1,0)</f>
        <v>1</v>
      </c>
      <c r="J71">
        <f>'tips dataset'!$E71</f>
        <v>2</v>
      </c>
      <c r="K71">
        <v>15.01</v>
      </c>
      <c r="L71">
        <v>2.09</v>
      </c>
      <c r="M71" s="12">
        <f t="shared" si="4"/>
        <v>0.13924050632911392</v>
      </c>
      <c r="N71" s="11">
        <f t="shared" si="5"/>
        <v>7.5049999999999999</v>
      </c>
      <c r="O71" s="11">
        <f t="shared" si="6"/>
        <v>1.0449999999999999</v>
      </c>
      <c r="P71">
        <f>IF('tips dataset'!$C71="thur",1,0)</f>
        <v>0</v>
      </c>
      <c r="Q71" t="str">
        <f t="shared" si="7"/>
        <v>Medium</v>
      </c>
    </row>
    <row r="72" spans="1:17" x14ac:dyDescent="0.3">
      <c r="A72">
        <f>IF('tips dataset'!$A72="Male",1,0)</f>
        <v>1</v>
      </c>
      <c r="B72">
        <f>IF('tips dataset'!$A72="Female",1,0)</f>
        <v>0</v>
      </c>
      <c r="C72">
        <f>IF('tips dataset'!$B72="Yes",1,0)</f>
        <v>0</v>
      </c>
      <c r="D72">
        <f>IF('tips dataset'!$B72="No",1,0)</f>
        <v>1</v>
      </c>
      <c r="E72">
        <f>IF('tips dataset'!$C72="Sat",1,0)</f>
        <v>0</v>
      </c>
      <c r="F72">
        <f>IF('tips dataset'!$C72="fri",1,0)</f>
        <v>0</v>
      </c>
      <c r="G72">
        <f>IF('tips dataset'!$C72="Sun",1,0)</f>
        <v>1</v>
      </c>
      <c r="H72">
        <f>IF('tips dataset'!$D72="Lunch",1,0)</f>
        <v>0</v>
      </c>
      <c r="I72">
        <f>IF('tips dataset'!$D72="Dinner",1,0)</f>
        <v>1</v>
      </c>
      <c r="J72">
        <f>'tips dataset'!$E72</f>
        <v>2</v>
      </c>
      <c r="K72">
        <v>12.02</v>
      </c>
      <c r="L72">
        <v>1.97</v>
      </c>
      <c r="M72" s="12">
        <f t="shared" si="4"/>
        <v>0.16389351081530781</v>
      </c>
      <c r="N72" s="11">
        <f t="shared" si="5"/>
        <v>6.01</v>
      </c>
      <c r="O72" s="11">
        <f t="shared" si="6"/>
        <v>0.98499999999999999</v>
      </c>
      <c r="P72">
        <f>IF('tips dataset'!$C72="thur",1,0)</f>
        <v>0</v>
      </c>
      <c r="Q72" t="str">
        <f t="shared" si="7"/>
        <v>Low</v>
      </c>
    </row>
    <row r="73" spans="1:17" x14ac:dyDescent="0.3">
      <c r="A73">
        <f>IF('tips dataset'!$A73="Male",1,0)</f>
        <v>0</v>
      </c>
      <c r="B73">
        <f>IF('tips dataset'!$A73="Female",1,0)</f>
        <v>1</v>
      </c>
      <c r="C73">
        <f>IF('tips dataset'!$B73="Yes",1,0)</f>
        <v>0</v>
      </c>
      <c r="D73">
        <f>IF('tips dataset'!$B73="No",1,0)</f>
        <v>1</v>
      </c>
      <c r="E73">
        <f>IF('tips dataset'!$C73="Sat",1,0)</f>
        <v>0</v>
      </c>
      <c r="F73">
        <f>IF('tips dataset'!$C73="fri",1,0)</f>
        <v>0</v>
      </c>
      <c r="G73">
        <f>IF('tips dataset'!$C73="Sun",1,0)</f>
        <v>0</v>
      </c>
      <c r="H73">
        <f>IF('tips dataset'!$D73="Lunch",1,0)</f>
        <v>1</v>
      </c>
      <c r="I73">
        <f>IF('tips dataset'!$D73="Dinner",1,0)</f>
        <v>0</v>
      </c>
      <c r="J73">
        <f>'tips dataset'!$E73</f>
        <v>2</v>
      </c>
      <c r="K73">
        <v>17.07</v>
      </c>
      <c r="L73">
        <v>3</v>
      </c>
      <c r="M73" s="12">
        <f t="shared" si="4"/>
        <v>0.1757469244288225</v>
      </c>
      <c r="N73" s="11">
        <f t="shared" si="5"/>
        <v>8.5350000000000001</v>
      </c>
      <c r="O73" s="11">
        <f t="shared" si="6"/>
        <v>1.5</v>
      </c>
      <c r="P73">
        <f>IF('tips dataset'!$C73="thur",1,0)</f>
        <v>1</v>
      </c>
      <c r="Q73" t="str">
        <f t="shared" si="7"/>
        <v>Medium</v>
      </c>
    </row>
    <row r="74" spans="1:17" x14ac:dyDescent="0.3">
      <c r="A74">
        <f>IF('tips dataset'!$A74="Male",1,0)</f>
        <v>1</v>
      </c>
      <c r="B74">
        <f>IF('tips dataset'!$A74="Female",1,0)</f>
        <v>0</v>
      </c>
      <c r="C74">
        <f>IF('tips dataset'!$B74="Yes",1,0)</f>
        <v>0</v>
      </c>
      <c r="D74">
        <f>IF('tips dataset'!$B74="No",1,0)</f>
        <v>1</v>
      </c>
      <c r="E74">
        <f>IF('tips dataset'!$C74="Sat",1,0)</f>
        <v>0</v>
      </c>
      <c r="F74">
        <f>IF('tips dataset'!$C74="fri",1,0)</f>
        <v>0</v>
      </c>
      <c r="G74">
        <f>IF('tips dataset'!$C74="Sun",1,0)</f>
        <v>0</v>
      </c>
      <c r="H74">
        <f>IF('tips dataset'!$D74="Lunch",1,0)</f>
        <v>1</v>
      </c>
      <c r="I74">
        <f>IF('tips dataset'!$D74="Dinner",1,0)</f>
        <v>0</v>
      </c>
      <c r="J74">
        <f>'tips dataset'!$E74</f>
        <v>2</v>
      </c>
      <c r="K74">
        <v>26.86</v>
      </c>
      <c r="L74">
        <v>3.14</v>
      </c>
      <c r="M74" s="12">
        <f t="shared" si="4"/>
        <v>0.11690245718540582</v>
      </c>
      <c r="N74" s="11">
        <f t="shared" si="5"/>
        <v>13.43</v>
      </c>
      <c r="O74" s="11">
        <f t="shared" si="6"/>
        <v>1.57</v>
      </c>
      <c r="P74">
        <f>IF('tips dataset'!$C74="thur",1,0)</f>
        <v>1</v>
      </c>
      <c r="Q74" t="str">
        <f t="shared" si="7"/>
        <v>High</v>
      </c>
    </row>
    <row r="75" spans="1:17" x14ac:dyDescent="0.3">
      <c r="A75">
        <f>IF('tips dataset'!$A75="Male",1,0)</f>
        <v>0</v>
      </c>
      <c r="B75">
        <f>IF('tips dataset'!$A75="Female",1,0)</f>
        <v>1</v>
      </c>
      <c r="C75">
        <f>IF('tips dataset'!$B75="Yes",1,0)</f>
        <v>1</v>
      </c>
      <c r="D75">
        <f>IF('tips dataset'!$B75="No",1,0)</f>
        <v>0</v>
      </c>
      <c r="E75">
        <f>IF('tips dataset'!$C75="Sat",1,0)</f>
        <v>1</v>
      </c>
      <c r="F75">
        <f>IF('tips dataset'!$C75="fri",1,0)</f>
        <v>0</v>
      </c>
      <c r="G75">
        <f>IF('tips dataset'!$C75="Sun",1,0)</f>
        <v>0</v>
      </c>
      <c r="H75">
        <f>IF('tips dataset'!$D75="Lunch",1,0)</f>
        <v>0</v>
      </c>
      <c r="I75">
        <f>IF('tips dataset'!$D75="Dinner",1,0)</f>
        <v>1</v>
      </c>
      <c r="J75">
        <f>'tips dataset'!$E75</f>
        <v>2</v>
      </c>
      <c r="K75">
        <v>25.28</v>
      </c>
      <c r="L75">
        <v>5</v>
      </c>
      <c r="M75" s="12">
        <f t="shared" si="4"/>
        <v>0.19778481012658228</v>
      </c>
      <c r="N75" s="11">
        <f t="shared" si="5"/>
        <v>12.64</v>
      </c>
      <c r="O75" s="11">
        <f t="shared" si="6"/>
        <v>2.5</v>
      </c>
      <c r="P75">
        <f>IF('tips dataset'!$C75="thur",1,0)</f>
        <v>0</v>
      </c>
      <c r="Q75" t="str">
        <f t="shared" si="7"/>
        <v>High</v>
      </c>
    </row>
    <row r="76" spans="1:17" x14ac:dyDescent="0.3">
      <c r="A76">
        <f>IF('tips dataset'!$A76="Male",1,0)</f>
        <v>1</v>
      </c>
      <c r="B76">
        <f>IF('tips dataset'!$A76="Female",1,0)</f>
        <v>0</v>
      </c>
      <c r="C76">
        <f>IF('tips dataset'!$B76="Yes",1,0)</f>
        <v>1</v>
      </c>
      <c r="D76">
        <f>IF('tips dataset'!$B76="No",1,0)</f>
        <v>0</v>
      </c>
      <c r="E76">
        <f>IF('tips dataset'!$C76="Sat",1,0)</f>
        <v>0</v>
      </c>
      <c r="F76">
        <f>IF('tips dataset'!$C76="fri",1,0)</f>
        <v>0</v>
      </c>
      <c r="G76">
        <f>IF('tips dataset'!$C76="Sun",1,0)</f>
        <v>1</v>
      </c>
      <c r="H76">
        <f>IF('tips dataset'!$D76="Lunch",1,0)</f>
        <v>0</v>
      </c>
      <c r="I76">
        <f>IF('tips dataset'!$D76="Dinner",1,0)</f>
        <v>1</v>
      </c>
      <c r="J76">
        <f>'tips dataset'!$E76</f>
        <v>2</v>
      </c>
      <c r="K76">
        <v>14.73</v>
      </c>
      <c r="L76">
        <v>2.2000000000000002</v>
      </c>
      <c r="M76" s="12">
        <f t="shared" si="4"/>
        <v>0.14935505770536323</v>
      </c>
      <c r="N76" s="11">
        <f t="shared" si="5"/>
        <v>7.3650000000000002</v>
      </c>
      <c r="O76" s="11">
        <f t="shared" si="6"/>
        <v>1.1000000000000001</v>
      </c>
      <c r="P76">
        <f>IF('tips dataset'!$C76="thur",1,0)</f>
        <v>0</v>
      </c>
      <c r="Q76" t="str">
        <f t="shared" si="7"/>
        <v>Low</v>
      </c>
    </row>
    <row r="77" spans="1:17" x14ac:dyDescent="0.3">
      <c r="A77">
        <f>IF('tips dataset'!$A77="Male",1,0)</f>
        <v>0</v>
      </c>
      <c r="B77">
        <f>IF('tips dataset'!$A77="Female",1,0)</f>
        <v>1</v>
      </c>
      <c r="C77">
        <f>IF('tips dataset'!$B77="Yes",1,0)</f>
        <v>0</v>
      </c>
      <c r="D77">
        <f>IF('tips dataset'!$B77="No",1,0)</f>
        <v>1</v>
      </c>
      <c r="E77">
        <f>IF('tips dataset'!$C77="Sat",1,0)</f>
        <v>0</v>
      </c>
      <c r="F77">
        <f>IF('tips dataset'!$C77="fri",1,0)</f>
        <v>0</v>
      </c>
      <c r="G77">
        <f>IF('tips dataset'!$C77="Sun",1,0)</f>
        <v>0</v>
      </c>
      <c r="H77">
        <f>IF('tips dataset'!$D77="Lunch",1,0)</f>
        <v>1</v>
      </c>
      <c r="I77">
        <f>IF('tips dataset'!$D77="Dinner",1,0)</f>
        <v>0</v>
      </c>
      <c r="J77">
        <f>'tips dataset'!$E77</f>
        <v>2</v>
      </c>
      <c r="K77">
        <v>10.51</v>
      </c>
      <c r="L77">
        <v>1.25</v>
      </c>
      <c r="M77" s="12">
        <f t="shared" si="4"/>
        <v>0.11893434823977164</v>
      </c>
      <c r="N77" s="11">
        <f t="shared" si="5"/>
        <v>5.2549999999999999</v>
      </c>
      <c r="O77" s="11">
        <f t="shared" si="6"/>
        <v>0.625</v>
      </c>
      <c r="P77">
        <f>IF('tips dataset'!$C77="thur",1,0)</f>
        <v>1</v>
      </c>
      <c r="Q77" t="str">
        <f t="shared" si="7"/>
        <v>Low</v>
      </c>
    </row>
    <row r="78" spans="1:17" x14ac:dyDescent="0.3">
      <c r="A78">
        <f>IF('tips dataset'!$A78="Male",1,0)</f>
        <v>0</v>
      </c>
      <c r="B78">
        <f>IF('tips dataset'!$A78="Female",1,0)</f>
        <v>1</v>
      </c>
      <c r="C78">
        <f>IF('tips dataset'!$B78="Yes",1,0)</f>
        <v>0</v>
      </c>
      <c r="D78">
        <f>IF('tips dataset'!$B78="No",1,0)</f>
        <v>1</v>
      </c>
      <c r="E78">
        <f>IF('tips dataset'!$C78="Sat",1,0)</f>
        <v>1</v>
      </c>
      <c r="F78">
        <f>IF('tips dataset'!$C78="fri",1,0)</f>
        <v>0</v>
      </c>
      <c r="G78">
        <f>IF('tips dataset'!$C78="Sun",1,0)</f>
        <v>0</v>
      </c>
      <c r="H78">
        <f>IF('tips dataset'!$D78="Lunch",1,0)</f>
        <v>0</v>
      </c>
      <c r="I78">
        <f>IF('tips dataset'!$D78="Dinner",1,0)</f>
        <v>1</v>
      </c>
      <c r="J78">
        <f>'tips dataset'!$E78</f>
        <v>2</v>
      </c>
      <c r="K78">
        <v>17.920000000000002</v>
      </c>
      <c r="L78">
        <v>3.08</v>
      </c>
      <c r="M78" s="12">
        <f t="shared" si="4"/>
        <v>0.171875</v>
      </c>
      <c r="N78" s="11">
        <f t="shared" si="5"/>
        <v>8.9600000000000009</v>
      </c>
      <c r="O78" s="11">
        <f t="shared" si="6"/>
        <v>1.54</v>
      </c>
      <c r="P78">
        <f>IF('tips dataset'!$C78="thur",1,0)</f>
        <v>0</v>
      </c>
      <c r="Q78" t="str">
        <f t="shared" si="7"/>
        <v>Medium</v>
      </c>
    </row>
    <row r="79" spans="1:17" x14ac:dyDescent="0.3">
      <c r="A79">
        <f>IF('tips dataset'!$A79="Male",1,0)</f>
        <v>1</v>
      </c>
      <c r="B79">
        <f>IF('tips dataset'!$A79="Female",1,0)</f>
        <v>0</v>
      </c>
      <c r="C79">
        <f>IF('tips dataset'!$B79="Yes",1,0)</f>
        <v>0</v>
      </c>
      <c r="D79">
        <f>IF('tips dataset'!$B79="No",1,0)</f>
        <v>1</v>
      </c>
      <c r="E79">
        <f>IF('tips dataset'!$C79="Sat",1,0)</f>
        <v>0</v>
      </c>
      <c r="F79">
        <f>IF('tips dataset'!$C79="fri",1,0)</f>
        <v>0</v>
      </c>
      <c r="G79">
        <f>IF('tips dataset'!$C79="Sun",1,0)</f>
        <v>1</v>
      </c>
      <c r="H79">
        <f>IF('tips dataset'!$D79="Lunch",1,0)</f>
        <v>0</v>
      </c>
      <c r="I79">
        <f>IF('tips dataset'!$D79="Dinner",1,0)</f>
        <v>1</v>
      </c>
      <c r="J79">
        <f>'tips dataset'!$E79</f>
        <v>2</v>
      </c>
      <c r="K79">
        <v>27.2</v>
      </c>
      <c r="L79">
        <v>4</v>
      </c>
      <c r="M79" s="12">
        <f t="shared" si="4"/>
        <v>0.14705882352941177</v>
      </c>
      <c r="N79" s="11">
        <f t="shared" si="5"/>
        <v>13.6</v>
      </c>
      <c r="O79" s="11">
        <f t="shared" si="6"/>
        <v>2</v>
      </c>
      <c r="P79">
        <f>IF('tips dataset'!$C79="thur",1,0)</f>
        <v>0</v>
      </c>
      <c r="Q79" t="str">
        <f t="shared" si="7"/>
        <v>High</v>
      </c>
    </row>
    <row r="80" spans="1:17" x14ac:dyDescent="0.3">
      <c r="A80">
        <f>IF('tips dataset'!$A80="Male",1,0)</f>
        <v>0</v>
      </c>
      <c r="B80">
        <f>IF('tips dataset'!$A80="Female",1,0)</f>
        <v>1</v>
      </c>
      <c r="C80">
        <f>IF('tips dataset'!$B80="Yes",1,0)</f>
        <v>0</v>
      </c>
      <c r="D80">
        <f>IF('tips dataset'!$B80="No",1,0)</f>
        <v>1</v>
      </c>
      <c r="E80">
        <f>IF('tips dataset'!$C80="Sat",1,0)</f>
        <v>0</v>
      </c>
      <c r="F80">
        <f>IF('tips dataset'!$C80="fri",1,0)</f>
        <v>0</v>
      </c>
      <c r="G80">
        <f>IF('tips dataset'!$C80="Sun",1,0)</f>
        <v>1</v>
      </c>
      <c r="H80">
        <f>IF('tips dataset'!$D80="Lunch",1,0)</f>
        <v>0</v>
      </c>
      <c r="I80">
        <f>IF('tips dataset'!$D80="Dinner",1,0)</f>
        <v>1</v>
      </c>
      <c r="J80">
        <f>'tips dataset'!$E80</f>
        <v>2</v>
      </c>
      <c r="K80">
        <v>22.76</v>
      </c>
      <c r="L80">
        <v>3</v>
      </c>
      <c r="M80" s="12">
        <f t="shared" si="4"/>
        <v>0.13181019332161686</v>
      </c>
      <c r="N80" s="11">
        <f t="shared" si="5"/>
        <v>11.38</v>
      </c>
      <c r="O80" s="11">
        <f t="shared" si="6"/>
        <v>1.5</v>
      </c>
      <c r="P80">
        <f>IF('tips dataset'!$C80="thur",1,0)</f>
        <v>0</v>
      </c>
      <c r="Q80" t="str">
        <f t="shared" si="7"/>
        <v>Medium</v>
      </c>
    </row>
    <row r="81" spans="1:17" x14ac:dyDescent="0.3">
      <c r="A81">
        <f>IF('tips dataset'!$A81="Male",1,0)</f>
        <v>1</v>
      </c>
      <c r="B81">
        <f>IF('tips dataset'!$A81="Female",1,0)</f>
        <v>0</v>
      </c>
      <c r="C81">
        <f>IF('tips dataset'!$B81="Yes",1,0)</f>
        <v>1</v>
      </c>
      <c r="D81">
        <f>IF('tips dataset'!$B81="No",1,0)</f>
        <v>0</v>
      </c>
      <c r="E81">
        <f>IF('tips dataset'!$C81="Sat",1,0)</f>
        <v>1</v>
      </c>
      <c r="F81">
        <f>IF('tips dataset'!$C81="fri",1,0)</f>
        <v>0</v>
      </c>
      <c r="G81">
        <f>IF('tips dataset'!$C81="Sun",1,0)</f>
        <v>0</v>
      </c>
      <c r="H81">
        <f>IF('tips dataset'!$D81="Lunch",1,0)</f>
        <v>0</v>
      </c>
      <c r="I81">
        <f>IF('tips dataset'!$D81="Dinner",1,0)</f>
        <v>1</v>
      </c>
      <c r="J81">
        <f>'tips dataset'!$E81</f>
        <v>2</v>
      </c>
      <c r="K81">
        <v>17.29</v>
      </c>
      <c r="L81">
        <v>2.71</v>
      </c>
      <c r="M81" s="12">
        <f t="shared" si="4"/>
        <v>0.15673799884326201</v>
      </c>
      <c r="N81" s="11">
        <f t="shared" si="5"/>
        <v>8.6449999999999996</v>
      </c>
      <c r="O81" s="11">
        <f t="shared" si="6"/>
        <v>1.355</v>
      </c>
      <c r="P81">
        <f>IF('tips dataset'!$C81="thur",1,0)</f>
        <v>0</v>
      </c>
      <c r="Q81" t="str">
        <f t="shared" si="7"/>
        <v>Medium</v>
      </c>
    </row>
    <row r="82" spans="1:17" x14ac:dyDescent="0.3">
      <c r="A82">
        <f>IF('tips dataset'!$A82="Male",1,0)</f>
        <v>1</v>
      </c>
      <c r="B82">
        <f>IF('tips dataset'!$A82="Female",1,0)</f>
        <v>0</v>
      </c>
      <c r="C82">
        <f>IF('tips dataset'!$B82="Yes",1,0)</f>
        <v>0</v>
      </c>
      <c r="D82">
        <f>IF('tips dataset'!$B82="No",1,0)</f>
        <v>1</v>
      </c>
      <c r="E82">
        <f>IF('tips dataset'!$C82="Sat",1,0)</f>
        <v>0</v>
      </c>
      <c r="F82">
        <f>IF('tips dataset'!$C82="fri",1,0)</f>
        <v>0</v>
      </c>
      <c r="G82">
        <f>IF('tips dataset'!$C82="Sun",1,0)</f>
        <v>1</v>
      </c>
      <c r="H82">
        <f>IF('tips dataset'!$D82="Lunch",1,0)</f>
        <v>0</v>
      </c>
      <c r="I82">
        <f>IF('tips dataset'!$D82="Dinner",1,0)</f>
        <v>1</v>
      </c>
      <c r="J82">
        <f>'tips dataset'!$E82</f>
        <v>2</v>
      </c>
      <c r="K82">
        <v>19.440000000000001</v>
      </c>
      <c r="L82">
        <v>3</v>
      </c>
      <c r="M82" s="12">
        <f t="shared" si="4"/>
        <v>0.15432098765432098</v>
      </c>
      <c r="N82" s="11">
        <f t="shared" si="5"/>
        <v>9.7200000000000006</v>
      </c>
      <c r="O82" s="11">
        <f t="shared" si="6"/>
        <v>1.5</v>
      </c>
      <c r="P82">
        <f>IF('tips dataset'!$C82="thur",1,0)</f>
        <v>0</v>
      </c>
      <c r="Q82" t="str">
        <f t="shared" si="7"/>
        <v>Medium</v>
      </c>
    </row>
    <row r="83" spans="1:17" x14ac:dyDescent="0.3">
      <c r="A83">
        <f>IF('tips dataset'!$A83="Male",1,0)</f>
        <v>0</v>
      </c>
      <c r="B83">
        <f>IF('tips dataset'!$A83="Female",1,0)</f>
        <v>1</v>
      </c>
      <c r="C83">
        <f>IF('tips dataset'!$B83="Yes",1,0)</f>
        <v>0</v>
      </c>
      <c r="D83">
        <f>IF('tips dataset'!$B83="No",1,0)</f>
        <v>1</v>
      </c>
      <c r="E83">
        <f>IF('tips dataset'!$C83="Sat",1,0)</f>
        <v>1</v>
      </c>
      <c r="F83">
        <f>IF('tips dataset'!$C83="fri",1,0)</f>
        <v>0</v>
      </c>
      <c r="G83">
        <f>IF('tips dataset'!$C83="Sun",1,0)</f>
        <v>0</v>
      </c>
      <c r="H83">
        <f>IF('tips dataset'!$D83="Lunch",1,0)</f>
        <v>0</v>
      </c>
      <c r="I83">
        <f>IF('tips dataset'!$D83="Dinner",1,0)</f>
        <v>1</v>
      </c>
      <c r="J83">
        <f>'tips dataset'!$E83</f>
        <v>2</v>
      </c>
      <c r="K83">
        <v>16.66</v>
      </c>
      <c r="L83">
        <v>3.4</v>
      </c>
      <c r="M83" s="12">
        <f t="shared" si="4"/>
        <v>0.20408163265306123</v>
      </c>
      <c r="N83" s="11">
        <f t="shared" si="5"/>
        <v>8.33</v>
      </c>
      <c r="O83" s="11">
        <f t="shared" si="6"/>
        <v>1.7</v>
      </c>
      <c r="P83">
        <f>IF('tips dataset'!$C83="thur",1,0)</f>
        <v>0</v>
      </c>
      <c r="Q83" t="str">
        <f t="shared" si="7"/>
        <v>Medium</v>
      </c>
    </row>
    <row r="84" spans="1:17" x14ac:dyDescent="0.3">
      <c r="A84">
        <f>IF('tips dataset'!$A84="Male",1,0)</f>
        <v>1</v>
      </c>
      <c r="B84">
        <f>IF('tips dataset'!$A84="Female",1,0)</f>
        <v>0</v>
      </c>
      <c r="C84">
        <f>IF('tips dataset'!$B84="Yes",1,0)</f>
        <v>1</v>
      </c>
      <c r="D84">
        <f>IF('tips dataset'!$B84="No",1,0)</f>
        <v>0</v>
      </c>
      <c r="E84">
        <f>IF('tips dataset'!$C84="Sat",1,0)</f>
        <v>1</v>
      </c>
      <c r="F84">
        <f>IF('tips dataset'!$C84="fri",1,0)</f>
        <v>0</v>
      </c>
      <c r="G84">
        <f>IF('tips dataset'!$C84="Sun",1,0)</f>
        <v>0</v>
      </c>
      <c r="H84">
        <f>IF('tips dataset'!$D84="Lunch",1,0)</f>
        <v>0</v>
      </c>
      <c r="I84">
        <f>IF('tips dataset'!$D84="Dinner",1,0)</f>
        <v>1</v>
      </c>
      <c r="J84">
        <f>'tips dataset'!$E84</f>
        <v>2</v>
      </c>
      <c r="K84">
        <v>10.07</v>
      </c>
      <c r="L84">
        <v>1.83</v>
      </c>
      <c r="M84" s="12">
        <f t="shared" si="4"/>
        <v>0.18172790466732869</v>
      </c>
      <c r="N84" s="11">
        <f t="shared" si="5"/>
        <v>5.0350000000000001</v>
      </c>
      <c r="O84" s="11">
        <f t="shared" si="6"/>
        <v>0.91500000000000004</v>
      </c>
      <c r="P84">
        <f>IF('tips dataset'!$C84="thur",1,0)</f>
        <v>0</v>
      </c>
      <c r="Q84" t="str">
        <f t="shared" si="7"/>
        <v>Low</v>
      </c>
    </row>
    <row r="85" spans="1:17" x14ac:dyDescent="0.3">
      <c r="A85">
        <f>IF('tips dataset'!$A85="Male",1,0)</f>
        <v>0</v>
      </c>
      <c r="B85">
        <f>IF('tips dataset'!$A85="Female",1,0)</f>
        <v>1</v>
      </c>
      <c r="C85">
        <f>IF('tips dataset'!$B85="Yes",1,0)</f>
        <v>1</v>
      </c>
      <c r="D85">
        <f>IF('tips dataset'!$B85="No",1,0)</f>
        <v>0</v>
      </c>
      <c r="E85">
        <f>IF('tips dataset'!$C85="Sat",1,0)</f>
        <v>0</v>
      </c>
      <c r="F85">
        <f>IF('tips dataset'!$C85="fri",1,0)</f>
        <v>1</v>
      </c>
      <c r="G85">
        <f>IF('tips dataset'!$C85="Sun",1,0)</f>
        <v>0</v>
      </c>
      <c r="H85">
        <f>IF('tips dataset'!$D85="Lunch",1,0)</f>
        <v>0</v>
      </c>
      <c r="I85">
        <f>IF('tips dataset'!$D85="Dinner",1,0)</f>
        <v>1</v>
      </c>
      <c r="J85">
        <f>'tips dataset'!$E85</f>
        <v>2</v>
      </c>
      <c r="K85">
        <v>32.68</v>
      </c>
      <c r="L85">
        <v>5</v>
      </c>
      <c r="M85" s="12">
        <f t="shared" si="4"/>
        <v>0.15299877600979192</v>
      </c>
      <c r="N85" s="11">
        <f t="shared" si="5"/>
        <v>16.34</v>
      </c>
      <c r="O85" s="11">
        <f t="shared" si="6"/>
        <v>2.5</v>
      </c>
      <c r="P85">
        <f>IF('tips dataset'!$C85="thur",1,0)</f>
        <v>0</v>
      </c>
      <c r="Q85" t="str">
        <f t="shared" si="7"/>
        <v>High</v>
      </c>
    </row>
    <row r="86" spans="1:17" x14ac:dyDescent="0.3">
      <c r="A86">
        <f>IF('tips dataset'!$A86="Male",1,0)</f>
        <v>1</v>
      </c>
      <c r="B86">
        <f>IF('tips dataset'!$A86="Female",1,0)</f>
        <v>0</v>
      </c>
      <c r="C86">
        <f>IF('tips dataset'!$B86="Yes",1,0)</f>
        <v>0</v>
      </c>
      <c r="D86">
        <f>IF('tips dataset'!$B86="No",1,0)</f>
        <v>1</v>
      </c>
      <c r="E86">
        <f>IF('tips dataset'!$C86="Sat",1,0)</f>
        <v>0</v>
      </c>
      <c r="F86">
        <f>IF('tips dataset'!$C86="fri",1,0)</f>
        <v>0</v>
      </c>
      <c r="G86">
        <f>IF('tips dataset'!$C86="Sun",1,0)</f>
        <v>1</v>
      </c>
      <c r="H86">
        <f>IF('tips dataset'!$D86="Lunch",1,0)</f>
        <v>0</v>
      </c>
      <c r="I86">
        <f>IF('tips dataset'!$D86="Dinner",1,0)</f>
        <v>1</v>
      </c>
      <c r="J86">
        <f>'tips dataset'!$E86</f>
        <v>2</v>
      </c>
      <c r="K86">
        <v>15.98</v>
      </c>
      <c r="L86">
        <v>2.0299999999999998</v>
      </c>
      <c r="M86" s="12">
        <f t="shared" si="4"/>
        <v>0.12703379224030037</v>
      </c>
      <c r="N86" s="11">
        <f t="shared" si="5"/>
        <v>7.99</v>
      </c>
      <c r="O86" s="11">
        <f t="shared" si="6"/>
        <v>1.0149999999999999</v>
      </c>
      <c r="P86">
        <f>IF('tips dataset'!$C86="thur",1,0)</f>
        <v>0</v>
      </c>
      <c r="Q86" t="str">
        <f t="shared" si="7"/>
        <v>Medium</v>
      </c>
    </row>
    <row r="87" spans="1:17" x14ac:dyDescent="0.3">
      <c r="A87">
        <f>IF('tips dataset'!$A87="Male",1,0)</f>
        <v>1</v>
      </c>
      <c r="B87">
        <f>IF('tips dataset'!$A87="Female",1,0)</f>
        <v>0</v>
      </c>
      <c r="C87">
        <f>IF('tips dataset'!$B87="Yes",1,0)</f>
        <v>1</v>
      </c>
      <c r="D87">
        <f>IF('tips dataset'!$B87="No",1,0)</f>
        <v>0</v>
      </c>
      <c r="E87">
        <f>IF('tips dataset'!$C87="Sat",1,0)</f>
        <v>0</v>
      </c>
      <c r="F87">
        <f>IF('tips dataset'!$C87="fri",1,0)</f>
        <v>0</v>
      </c>
      <c r="G87">
        <f>IF('tips dataset'!$C87="Sun",1,0)</f>
        <v>0</v>
      </c>
      <c r="H87">
        <f>IF('tips dataset'!$D87="Lunch",1,0)</f>
        <v>1</v>
      </c>
      <c r="I87">
        <f>IF('tips dataset'!$D87="Dinner",1,0)</f>
        <v>0</v>
      </c>
      <c r="J87">
        <f>'tips dataset'!$E87</f>
        <v>2</v>
      </c>
      <c r="K87">
        <v>34.83</v>
      </c>
      <c r="L87">
        <v>5.17</v>
      </c>
      <c r="M87" s="12">
        <f t="shared" si="4"/>
        <v>0.14843525696238874</v>
      </c>
      <c r="N87" s="11">
        <f t="shared" si="5"/>
        <v>17.414999999999999</v>
      </c>
      <c r="O87" s="11">
        <f t="shared" si="6"/>
        <v>2.585</v>
      </c>
      <c r="P87">
        <f>IF('tips dataset'!$C87="thur",1,0)</f>
        <v>1</v>
      </c>
      <c r="Q87" t="str">
        <f t="shared" si="7"/>
        <v>High</v>
      </c>
    </row>
    <row r="88" spans="1:17" x14ac:dyDescent="0.3">
      <c r="A88">
        <f>IF('tips dataset'!$A88="Male",1,0)</f>
        <v>1</v>
      </c>
      <c r="B88">
        <f>IF('tips dataset'!$A88="Female",1,0)</f>
        <v>0</v>
      </c>
      <c r="C88">
        <f>IF('tips dataset'!$B88="Yes",1,0)</f>
        <v>1</v>
      </c>
      <c r="D88">
        <f>IF('tips dataset'!$B88="No",1,0)</f>
        <v>0</v>
      </c>
      <c r="E88">
        <f>IF('tips dataset'!$C88="Sat",1,0)</f>
        <v>1</v>
      </c>
      <c r="F88">
        <f>IF('tips dataset'!$C88="fri",1,0)</f>
        <v>0</v>
      </c>
      <c r="G88">
        <f>IF('tips dataset'!$C88="Sun",1,0)</f>
        <v>0</v>
      </c>
      <c r="H88">
        <f>IF('tips dataset'!$D88="Lunch",1,0)</f>
        <v>0</v>
      </c>
      <c r="I88">
        <f>IF('tips dataset'!$D88="Dinner",1,0)</f>
        <v>1</v>
      </c>
      <c r="J88">
        <f>'tips dataset'!$E88</f>
        <v>2</v>
      </c>
      <c r="K88">
        <v>13.03</v>
      </c>
      <c r="L88">
        <v>2</v>
      </c>
      <c r="M88" s="12">
        <f t="shared" si="4"/>
        <v>0.15349194167306218</v>
      </c>
      <c r="N88" s="11">
        <f t="shared" si="5"/>
        <v>6.5149999999999997</v>
      </c>
      <c r="O88" s="11">
        <f t="shared" si="6"/>
        <v>1</v>
      </c>
      <c r="P88">
        <f>IF('tips dataset'!$C88="thur",1,0)</f>
        <v>0</v>
      </c>
      <c r="Q88" t="str">
        <f t="shared" si="7"/>
        <v>Low</v>
      </c>
    </row>
    <row r="89" spans="1:17" x14ac:dyDescent="0.3">
      <c r="A89">
        <f>IF('tips dataset'!$A89="Male",1,0)</f>
        <v>1</v>
      </c>
      <c r="B89">
        <f>IF('tips dataset'!$A89="Female",1,0)</f>
        <v>0</v>
      </c>
      <c r="C89">
        <f>IF('tips dataset'!$B89="Yes",1,0)</f>
        <v>1</v>
      </c>
      <c r="D89">
        <f>IF('tips dataset'!$B89="No",1,0)</f>
        <v>0</v>
      </c>
      <c r="E89">
        <f>IF('tips dataset'!$C89="Sat",1,0)</f>
        <v>0</v>
      </c>
      <c r="F89">
        <f>IF('tips dataset'!$C89="fri",1,0)</f>
        <v>0</v>
      </c>
      <c r="G89">
        <f>IF('tips dataset'!$C89="Sun",1,0)</f>
        <v>1</v>
      </c>
      <c r="H89">
        <f>IF('tips dataset'!$D89="Lunch",1,0)</f>
        <v>0</v>
      </c>
      <c r="I89">
        <f>IF('tips dataset'!$D89="Dinner",1,0)</f>
        <v>1</v>
      </c>
      <c r="J89">
        <f>'tips dataset'!$E89</f>
        <v>2</v>
      </c>
      <c r="K89">
        <v>18.28</v>
      </c>
      <c r="L89">
        <v>4</v>
      </c>
      <c r="M89" s="12">
        <f t="shared" si="4"/>
        <v>0.21881838074398249</v>
      </c>
      <c r="N89" s="11">
        <f t="shared" si="5"/>
        <v>9.14</v>
      </c>
      <c r="O89" s="11">
        <f t="shared" si="6"/>
        <v>2</v>
      </c>
      <c r="P89">
        <f>IF('tips dataset'!$C89="thur",1,0)</f>
        <v>0</v>
      </c>
      <c r="Q89" t="str">
        <f t="shared" si="7"/>
        <v>Medium</v>
      </c>
    </row>
    <row r="90" spans="1:17" x14ac:dyDescent="0.3">
      <c r="A90">
        <f>IF('tips dataset'!$A90="Male",1,0)</f>
        <v>1</v>
      </c>
      <c r="B90">
        <f>IF('tips dataset'!$A90="Female",1,0)</f>
        <v>0</v>
      </c>
      <c r="C90">
        <f>IF('tips dataset'!$B90="Yes",1,0)</f>
        <v>1</v>
      </c>
      <c r="D90">
        <f>IF('tips dataset'!$B90="No",1,0)</f>
        <v>0</v>
      </c>
      <c r="E90">
        <f>IF('tips dataset'!$C90="Sat",1,0)</f>
        <v>1</v>
      </c>
      <c r="F90">
        <f>IF('tips dataset'!$C90="fri",1,0)</f>
        <v>0</v>
      </c>
      <c r="G90">
        <f>IF('tips dataset'!$C90="Sun",1,0)</f>
        <v>0</v>
      </c>
      <c r="H90">
        <f>IF('tips dataset'!$D90="Lunch",1,0)</f>
        <v>0</v>
      </c>
      <c r="I90">
        <f>IF('tips dataset'!$D90="Dinner",1,0)</f>
        <v>1</v>
      </c>
      <c r="J90">
        <f>'tips dataset'!$E90</f>
        <v>3</v>
      </c>
      <c r="K90">
        <v>24.71</v>
      </c>
      <c r="L90">
        <v>5.85</v>
      </c>
      <c r="M90" s="12">
        <f t="shared" si="4"/>
        <v>0.23674625657628487</v>
      </c>
      <c r="N90" s="11">
        <f t="shared" si="5"/>
        <v>8.2366666666666664</v>
      </c>
      <c r="O90" s="11">
        <f t="shared" si="6"/>
        <v>1.95</v>
      </c>
      <c r="P90">
        <f>IF('tips dataset'!$C90="thur",1,0)</f>
        <v>0</v>
      </c>
      <c r="Q90" t="str">
        <f t="shared" si="7"/>
        <v>Medium</v>
      </c>
    </row>
    <row r="91" spans="1:17" x14ac:dyDescent="0.3">
      <c r="A91">
        <f>IF('tips dataset'!$A91="Male",1,0)</f>
        <v>0</v>
      </c>
      <c r="B91">
        <f>IF('tips dataset'!$A91="Female",1,0)</f>
        <v>1</v>
      </c>
      <c r="C91">
        <f>IF('tips dataset'!$B91="Yes",1,0)</f>
        <v>0</v>
      </c>
      <c r="D91">
        <f>IF('tips dataset'!$B91="No",1,0)</f>
        <v>1</v>
      </c>
      <c r="E91">
        <f>IF('tips dataset'!$C91="Sat",1,0)</f>
        <v>1</v>
      </c>
      <c r="F91">
        <f>IF('tips dataset'!$C91="fri",1,0)</f>
        <v>0</v>
      </c>
      <c r="G91">
        <f>IF('tips dataset'!$C91="Sun",1,0)</f>
        <v>0</v>
      </c>
      <c r="H91">
        <f>IF('tips dataset'!$D91="Lunch",1,0)</f>
        <v>0</v>
      </c>
      <c r="I91">
        <f>IF('tips dataset'!$D91="Dinner",1,0)</f>
        <v>1</v>
      </c>
      <c r="J91">
        <f>'tips dataset'!$E91</f>
        <v>2</v>
      </c>
      <c r="K91">
        <v>21.16</v>
      </c>
      <c r="L91">
        <v>3</v>
      </c>
      <c r="M91" s="12">
        <f t="shared" si="4"/>
        <v>0.14177693761814744</v>
      </c>
      <c r="N91" s="11">
        <f t="shared" si="5"/>
        <v>10.58</v>
      </c>
      <c r="O91" s="11">
        <f t="shared" si="6"/>
        <v>1.5</v>
      </c>
      <c r="P91">
        <f>IF('tips dataset'!$C91="thur",1,0)</f>
        <v>0</v>
      </c>
      <c r="Q91" t="str">
        <f t="shared" si="7"/>
        <v>Medium</v>
      </c>
    </row>
    <row r="92" spans="1:17" x14ac:dyDescent="0.3">
      <c r="A92">
        <f>IF('tips dataset'!$A92="Male",1,0)</f>
        <v>1</v>
      </c>
      <c r="B92">
        <f>IF('tips dataset'!$A92="Female",1,0)</f>
        <v>0</v>
      </c>
      <c r="C92">
        <f>IF('tips dataset'!$B92="Yes",1,0)</f>
        <v>1</v>
      </c>
      <c r="D92">
        <f>IF('tips dataset'!$B92="No",1,0)</f>
        <v>0</v>
      </c>
      <c r="E92">
        <f>IF('tips dataset'!$C92="Sat",1,0)</f>
        <v>1</v>
      </c>
      <c r="F92">
        <f>IF('tips dataset'!$C92="fri",1,0)</f>
        <v>0</v>
      </c>
      <c r="G92">
        <f>IF('tips dataset'!$C92="Sun",1,0)</f>
        <v>0</v>
      </c>
      <c r="H92">
        <f>IF('tips dataset'!$D92="Lunch",1,0)</f>
        <v>0</v>
      </c>
      <c r="I92">
        <f>IF('tips dataset'!$D92="Dinner",1,0)</f>
        <v>1</v>
      </c>
      <c r="J92">
        <f>'tips dataset'!$E92</f>
        <v>2</v>
      </c>
      <c r="K92">
        <v>28.97</v>
      </c>
      <c r="L92">
        <v>3</v>
      </c>
      <c r="M92" s="12">
        <f t="shared" si="4"/>
        <v>0.10355540214014498</v>
      </c>
      <c r="N92" s="11">
        <f t="shared" si="5"/>
        <v>14.484999999999999</v>
      </c>
      <c r="O92" s="11">
        <f t="shared" si="6"/>
        <v>1.5</v>
      </c>
      <c r="P92">
        <f>IF('tips dataset'!$C92="thur",1,0)</f>
        <v>0</v>
      </c>
      <c r="Q92" t="str">
        <f t="shared" si="7"/>
        <v>High</v>
      </c>
    </row>
    <row r="93" spans="1:17" x14ac:dyDescent="0.3">
      <c r="A93">
        <f>IF('tips dataset'!$A93="Male",1,0)</f>
        <v>1</v>
      </c>
      <c r="B93">
        <f>IF('tips dataset'!$A93="Female",1,0)</f>
        <v>0</v>
      </c>
      <c r="C93">
        <f>IF('tips dataset'!$B93="Yes",1,0)</f>
        <v>0</v>
      </c>
      <c r="D93">
        <f>IF('tips dataset'!$B93="No",1,0)</f>
        <v>1</v>
      </c>
      <c r="E93">
        <f>IF('tips dataset'!$C93="Sat",1,0)</f>
        <v>0</v>
      </c>
      <c r="F93">
        <f>IF('tips dataset'!$C93="fri",1,0)</f>
        <v>0</v>
      </c>
      <c r="G93">
        <f>IF('tips dataset'!$C93="Sun",1,0)</f>
        <v>0</v>
      </c>
      <c r="H93">
        <f>IF('tips dataset'!$D93="Lunch",1,0)</f>
        <v>1</v>
      </c>
      <c r="I93">
        <f>IF('tips dataset'!$D93="Dinner",1,0)</f>
        <v>0</v>
      </c>
      <c r="J93">
        <f>'tips dataset'!$E93</f>
        <v>2</v>
      </c>
      <c r="K93">
        <v>22.49</v>
      </c>
      <c r="L93">
        <v>3.5</v>
      </c>
      <c r="M93" s="12">
        <f t="shared" si="4"/>
        <v>0.15562472209871056</v>
      </c>
      <c r="N93" s="11">
        <f t="shared" si="5"/>
        <v>11.244999999999999</v>
      </c>
      <c r="O93" s="11">
        <f t="shared" si="6"/>
        <v>1.75</v>
      </c>
      <c r="P93">
        <f>IF('tips dataset'!$C93="thur",1,0)</f>
        <v>1</v>
      </c>
      <c r="Q93" t="str">
        <f t="shared" si="7"/>
        <v>Medium</v>
      </c>
    </row>
    <row r="94" spans="1:17" x14ac:dyDescent="0.3">
      <c r="A94">
        <f>IF('tips dataset'!$A94="Male",1,0)</f>
        <v>1</v>
      </c>
      <c r="B94">
        <f>IF('tips dataset'!$A94="Female",1,0)</f>
        <v>0</v>
      </c>
      <c r="C94">
        <f>IF('tips dataset'!$B94="Yes",1,0)</f>
        <v>0</v>
      </c>
      <c r="D94">
        <f>IF('tips dataset'!$B94="No",1,0)</f>
        <v>1</v>
      </c>
      <c r="E94">
        <f>IF('tips dataset'!$C94="Sat",1,0)</f>
        <v>0</v>
      </c>
      <c r="F94">
        <f>IF('tips dataset'!$C94="fri",1,0)</f>
        <v>0</v>
      </c>
      <c r="G94">
        <f>IF('tips dataset'!$C94="Sun",1,0)</f>
        <v>0</v>
      </c>
      <c r="H94">
        <f>IF('tips dataset'!$D94="Lunch",1,0)</f>
        <v>1</v>
      </c>
      <c r="I94">
        <f>IF('tips dataset'!$D94="Dinner",1,0)</f>
        <v>0</v>
      </c>
      <c r="J94">
        <f>'tips dataset'!$E94</f>
        <v>2</v>
      </c>
      <c r="K94">
        <v>5.75</v>
      </c>
      <c r="L94">
        <v>1</v>
      </c>
      <c r="M94" s="12">
        <f t="shared" si="4"/>
        <v>0.17391304347826086</v>
      </c>
      <c r="N94" s="11">
        <f t="shared" si="5"/>
        <v>2.875</v>
      </c>
      <c r="O94" s="11">
        <f t="shared" si="6"/>
        <v>0.5</v>
      </c>
      <c r="P94">
        <f>IF('tips dataset'!$C94="thur",1,0)</f>
        <v>1</v>
      </c>
      <c r="Q94" t="str">
        <f t="shared" si="7"/>
        <v>Low</v>
      </c>
    </row>
    <row r="95" spans="1:17" x14ac:dyDescent="0.3">
      <c r="A95">
        <f>IF('tips dataset'!$A95="Male",1,0)</f>
        <v>0</v>
      </c>
      <c r="B95">
        <f>IF('tips dataset'!$A95="Female",1,0)</f>
        <v>1</v>
      </c>
      <c r="C95">
        <f>IF('tips dataset'!$B95="Yes",1,0)</f>
        <v>0</v>
      </c>
      <c r="D95">
        <f>IF('tips dataset'!$B95="No",1,0)</f>
        <v>1</v>
      </c>
      <c r="E95">
        <f>IF('tips dataset'!$C95="Sat",1,0)</f>
        <v>0</v>
      </c>
      <c r="F95">
        <f>IF('tips dataset'!$C95="fri",1,0)</f>
        <v>1</v>
      </c>
      <c r="G95">
        <f>IF('tips dataset'!$C95="Sun",1,0)</f>
        <v>0</v>
      </c>
      <c r="H95">
        <f>IF('tips dataset'!$D95="Lunch",1,0)</f>
        <v>1</v>
      </c>
      <c r="I95">
        <f>IF('tips dataset'!$D95="Dinner",1,0)</f>
        <v>0</v>
      </c>
      <c r="J95">
        <f>'tips dataset'!$E95</f>
        <v>3</v>
      </c>
      <c r="K95">
        <v>16.32</v>
      </c>
      <c r="L95">
        <v>4.3</v>
      </c>
      <c r="M95" s="12">
        <f t="shared" si="4"/>
        <v>0.26348039215686275</v>
      </c>
      <c r="N95" s="11">
        <f t="shared" si="5"/>
        <v>5.44</v>
      </c>
      <c r="O95" s="11">
        <f t="shared" si="6"/>
        <v>1.4333333333333333</v>
      </c>
      <c r="P95">
        <f>IF('tips dataset'!$C95="thur",1,0)</f>
        <v>0</v>
      </c>
      <c r="Q95" t="str">
        <f t="shared" si="7"/>
        <v>Medium</v>
      </c>
    </row>
    <row r="96" spans="1:17" x14ac:dyDescent="0.3">
      <c r="A96">
        <f>IF('tips dataset'!$A96="Male",1,0)</f>
        <v>1</v>
      </c>
      <c r="B96">
        <f>IF('tips dataset'!$A96="Female",1,0)</f>
        <v>0</v>
      </c>
      <c r="C96">
        <f>IF('tips dataset'!$B96="Yes",1,0)</f>
        <v>1</v>
      </c>
      <c r="D96">
        <f>IF('tips dataset'!$B96="No",1,0)</f>
        <v>0</v>
      </c>
      <c r="E96">
        <f>IF('tips dataset'!$C96="Sat",1,0)</f>
        <v>0</v>
      </c>
      <c r="F96">
        <f>IF('tips dataset'!$C96="fri",1,0)</f>
        <v>0</v>
      </c>
      <c r="G96">
        <f>IF('tips dataset'!$C96="Sun",1,0)</f>
        <v>0</v>
      </c>
      <c r="H96">
        <f>IF('tips dataset'!$D96="Lunch",1,0)</f>
        <v>1</v>
      </c>
      <c r="I96">
        <f>IF('tips dataset'!$D96="Dinner",1,0)</f>
        <v>0</v>
      </c>
      <c r="J96">
        <f>'tips dataset'!$E96</f>
        <v>2</v>
      </c>
      <c r="K96">
        <v>22.75</v>
      </c>
      <c r="L96">
        <v>3.25</v>
      </c>
      <c r="M96" s="12">
        <f t="shared" si="4"/>
        <v>0.14285714285714285</v>
      </c>
      <c r="N96" s="11">
        <f t="shared" si="5"/>
        <v>11.375</v>
      </c>
      <c r="O96" s="11">
        <f t="shared" si="6"/>
        <v>1.625</v>
      </c>
      <c r="P96">
        <f>IF('tips dataset'!$C96="thur",1,0)</f>
        <v>1</v>
      </c>
      <c r="Q96" t="str">
        <f t="shared" si="7"/>
        <v>Medium</v>
      </c>
    </row>
    <row r="97" spans="1:17" x14ac:dyDescent="0.3">
      <c r="A97">
        <f>IF('tips dataset'!$A97="Male",1,0)</f>
        <v>1</v>
      </c>
      <c r="B97">
        <f>IF('tips dataset'!$A97="Female",1,0)</f>
        <v>0</v>
      </c>
      <c r="C97">
        <f>IF('tips dataset'!$B97="Yes",1,0)</f>
        <v>0</v>
      </c>
      <c r="D97">
        <f>IF('tips dataset'!$B97="No",1,0)</f>
        <v>1</v>
      </c>
      <c r="E97">
        <f>IF('tips dataset'!$C97="Sat",1,0)</f>
        <v>1</v>
      </c>
      <c r="F97">
        <f>IF('tips dataset'!$C97="fri",1,0)</f>
        <v>0</v>
      </c>
      <c r="G97">
        <f>IF('tips dataset'!$C97="Sun",1,0)</f>
        <v>0</v>
      </c>
      <c r="H97">
        <f>IF('tips dataset'!$D97="Lunch",1,0)</f>
        <v>0</v>
      </c>
      <c r="I97">
        <f>IF('tips dataset'!$D97="Dinner",1,0)</f>
        <v>1</v>
      </c>
      <c r="J97">
        <f>'tips dataset'!$E97</f>
        <v>3</v>
      </c>
      <c r="K97">
        <v>40.17</v>
      </c>
      <c r="L97">
        <v>4.7300000000000004</v>
      </c>
      <c r="M97" s="12">
        <f t="shared" si="4"/>
        <v>0.1177495643515061</v>
      </c>
      <c r="N97" s="11">
        <f t="shared" si="5"/>
        <v>13.39</v>
      </c>
      <c r="O97" s="11">
        <f t="shared" si="6"/>
        <v>1.5766666666666669</v>
      </c>
      <c r="P97">
        <f>IF('tips dataset'!$C97="thur",1,0)</f>
        <v>0</v>
      </c>
      <c r="Q97" t="str">
        <f t="shared" si="7"/>
        <v>Premium</v>
      </c>
    </row>
    <row r="98" spans="1:17" x14ac:dyDescent="0.3">
      <c r="A98">
        <f>IF('tips dataset'!$A98="Male",1,0)</f>
        <v>0</v>
      </c>
      <c r="B98">
        <f>IF('tips dataset'!$A98="Female",1,0)</f>
        <v>1</v>
      </c>
      <c r="C98">
        <f>IF('tips dataset'!$B98="Yes",1,0)</f>
        <v>0</v>
      </c>
      <c r="D98">
        <f>IF('tips dataset'!$B98="No",1,0)</f>
        <v>1</v>
      </c>
      <c r="E98">
        <f>IF('tips dataset'!$C98="Sat",1,0)</f>
        <v>0</v>
      </c>
      <c r="F98">
        <f>IF('tips dataset'!$C98="fri",1,0)</f>
        <v>0</v>
      </c>
      <c r="G98">
        <f>IF('tips dataset'!$C98="Sun",1,0)</f>
        <v>1</v>
      </c>
      <c r="H98">
        <f>IF('tips dataset'!$D98="Lunch",1,0)</f>
        <v>0</v>
      </c>
      <c r="I98">
        <f>IF('tips dataset'!$D98="Dinner",1,0)</f>
        <v>1</v>
      </c>
      <c r="J98">
        <f>'tips dataset'!$E98</f>
        <v>3</v>
      </c>
      <c r="K98">
        <v>27.28</v>
      </c>
      <c r="L98">
        <v>4</v>
      </c>
      <c r="M98" s="12">
        <f t="shared" si="4"/>
        <v>0.14662756598240467</v>
      </c>
      <c r="N98" s="11">
        <f t="shared" si="5"/>
        <v>9.0933333333333337</v>
      </c>
      <c r="O98" s="11">
        <f t="shared" si="6"/>
        <v>1.3333333333333333</v>
      </c>
      <c r="P98">
        <f>IF('tips dataset'!$C98="thur",1,0)</f>
        <v>0</v>
      </c>
      <c r="Q98" t="str">
        <f t="shared" si="7"/>
        <v>High</v>
      </c>
    </row>
    <row r="99" spans="1:17" x14ac:dyDescent="0.3">
      <c r="A99">
        <f>IF('tips dataset'!$A99="Male",1,0)</f>
        <v>0</v>
      </c>
      <c r="B99">
        <f>IF('tips dataset'!$A99="Female",1,0)</f>
        <v>1</v>
      </c>
      <c r="C99">
        <f>IF('tips dataset'!$B99="Yes",1,0)</f>
        <v>1</v>
      </c>
      <c r="D99">
        <f>IF('tips dataset'!$B99="No",1,0)</f>
        <v>0</v>
      </c>
      <c r="E99">
        <f>IF('tips dataset'!$C99="Sat",1,0)</f>
        <v>0</v>
      </c>
      <c r="F99">
        <f>IF('tips dataset'!$C99="fri",1,0)</f>
        <v>1</v>
      </c>
      <c r="G99">
        <f>IF('tips dataset'!$C99="Sun",1,0)</f>
        <v>0</v>
      </c>
      <c r="H99">
        <f>IF('tips dataset'!$D99="Lunch",1,0)</f>
        <v>1</v>
      </c>
      <c r="I99">
        <f>IF('tips dataset'!$D99="Dinner",1,0)</f>
        <v>0</v>
      </c>
      <c r="J99">
        <f>'tips dataset'!$E99</f>
        <v>2</v>
      </c>
      <c r="K99">
        <v>12.03</v>
      </c>
      <c r="L99">
        <v>1.5</v>
      </c>
      <c r="M99" s="12">
        <f t="shared" si="4"/>
        <v>0.12468827930174564</v>
      </c>
      <c r="N99" s="11">
        <f t="shared" si="5"/>
        <v>6.0149999999999997</v>
      </c>
      <c r="O99" s="11">
        <f t="shared" si="6"/>
        <v>0.75</v>
      </c>
      <c r="P99">
        <f>IF('tips dataset'!$C99="thur",1,0)</f>
        <v>0</v>
      </c>
      <c r="Q99" t="str">
        <f t="shared" si="7"/>
        <v>Low</v>
      </c>
    </row>
    <row r="100" spans="1:17" x14ac:dyDescent="0.3">
      <c r="A100">
        <f>IF('tips dataset'!$A100="Male",1,0)</f>
        <v>1</v>
      </c>
      <c r="B100">
        <f>IF('tips dataset'!$A100="Female",1,0)</f>
        <v>0</v>
      </c>
      <c r="C100">
        <f>IF('tips dataset'!$B100="Yes",1,0)</f>
        <v>0</v>
      </c>
      <c r="D100">
        <f>IF('tips dataset'!$B100="No",1,0)</f>
        <v>1</v>
      </c>
      <c r="E100">
        <f>IF('tips dataset'!$C100="Sat",1,0)</f>
        <v>0</v>
      </c>
      <c r="F100">
        <f>IF('tips dataset'!$C100="fri",1,0)</f>
        <v>0</v>
      </c>
      <c r="G100">
        <f>IF('tips dataset'!$C100="Sun",1,0)</f>
        <v>1</v>
      </c>
      <c r="H100">
        <f>IF('tips dataset'!$D100="Lunch",1,0)</f>
        <v>0</v>
      </c>
      <c r="I100">
        <f>IF('tips dataset'!$D100="Dinner",1,0)</f>
        <v>1</v>
      </c>
      <c r="J100">
        <f>'tips dataset'!$E100</f>
        <v>3</v>
      </c>
      <c r="K100">
        <v>21.01</v>
      </c>
      <c r="L100">
        <v>3</v>
      </c>
      <c r="M100" s="12">
        <f t="shared" si="4"/>
        <v>0.1427891480247501</v>
      </c>
      <c r="N100" s="11">
        <f t="shared" si="5"/>
        <v>7.0033333333333339</v>
      </c>
      <c r="O100" s="11">
        <f t="shared" si="6"/>
        <v>1</v>
      </c>
      <c r="P100">
        <f>IF('tips dataset'!$C100="thur",1,0)</f>
        <v>0</v>
      </c>
      <c r="Q100" t="str">
        <f t="shared" si="7"/>
        <v>Medium</v>
      </c>
    </row>
    <row r="101" spans="1:17" x14ac:dyDescent="0.3">
      <c r="A101">
        <f>IF('tips dataset'!$A101="Male",1,0)</f>
        <v>1</v>
      </c>
      <c r="B101">
        <f>IF('tips dataset'!$A101="Female",1,0)</f>
        <v>0</v>
      </c>
      <c r="C101">
        <f>IF('tips dataset'!$B101="Yes",1,0)</f>
        <v>0</v>
      </c>
      <c r="D101">
        <f>IF('tips dataset'!$B101="No",1,0)</f>
        <v>1</v>
      </c>
      <c r="E101">
        <f>IF('tips dataset'!$C101="Sat",1,0)</f>
        <v>1</v>
      </c>
      <c r="F101">
        <f>IF('tips dataset'!$C101="fri",1,0)</f>
        <v>0</v>
      </c>
      <c r="G101">
        <f>IF('tips dataset'!$C101="Sun",1,0)</f>
        <v>0</v>
      </c>
      <c r="H101">
        <f>IF('tips dataset'!$D101="Lunch",1,0)</f>
        <v>0</v>
      </c>
      <c r="I101">
        <f>IF('tips dataset'!$D101="Dinner",1,0)</f>
        <v>1</v>
      </c>
      <c r="J101">
        <f>'tips dataset'!$E101</f>
        <v>3</v>
      </c>
      <c r="K101">
        <v>12.46</v>
      </c>
      <c r="L101">
        <v>1.5</v>
      </c>
      <c r="M101" s="12">
        <f t="shared" si="4"/>
        <v>0.1203852327447833</v>
      </c>
      <c r="N101" s="11">
        <f t="shared" si="5"/>
        <v>4.1533333333333333</v>
      </c>
      <c r="O101" s="11">
        <f t="shared" si="6"/>
        <v>0.5</v>
      </c>
      <c r="P101">
        <f>IF('tips dataset'!$C101="thur",1,0)</f>
        <v>0</v>
      </c>
      <c r="Q101" t="str">
        <f t="shared" si="7"/>
        <v>Low</v>
      </c>
    </row>
    <row r="102" spans="1:17" x14ac:dyDescent="0.3">
      <c r="A102">
        <f>IF('tips dataset'!$A102="Male",1,0)</f>
        <v>0</v>
      </c>
      <c r="B102">
        <f>IF('tips dataset'!$A102="Female",1,0)</f>
        <v>1</v>
      </c>
      <c r="C102">
        <f>IF('tips dataset'!$B102="Yes",1,0)</f>
        <v>1</v>
      </c>
      <c r="D102">
        <f>IF('tips dataset'!$B102="No",1,0)</f>
        <v>0</v>
      </c>
      <c r="E102">
        <f>IF('tips dataset'!$C102="Sat",1,0)</f>
        <v>0</v>
      </c>
      <c r="F102">
        <f>IF('tips dataset'!$C102="fri",1,0)</f>
        <v>1</v>
      </c>
      <c r="G102">
        <f>IF('tips dataset'!$C102="Sun",1,0)</f>
        <v>0</v>
      </c>
      <c r="H102">
        <f>IF('tips dataset'!$D102="Lunch",1,0)</f>
        <v>0</v>
      </c>
      <c r="I102">
        <f>IF('tips dataset'!$D102="Dinner",1,0)</f>
        <v>1</v>
      </c>
      <c r="J102">
        <f>'tips dataset'!$E102</f>
        <v>2</v>
      </c>
      <c r="K102">
        <v>11.35</v>
      </c>
      <c r="L102">
        <v>2.5</v>
      </c>
      <c r="M102" s="12">
        <f t="shared" si="4"/>
        <v>0.22026431718061676</v>
      </c>
      <c r="N102" s="11">
        <f t="shared" si="5"/>
        <v>5.6749999999999998</v>
      </c>
      <c r="O102" s="11">
        <f t="shared" si="6"/>
        <v>1.25</v>
      </c>
      <c r="P102">
        <f>IF('tips dataset'!$C102="thur",1,0)</f>
        <v>0</v>
      </c>
      <c r="Q102" t="str">
        <f t="shared" si="7"/>
        <v>Low</v>
      </c>
    </row>
    <row r="103" spans="1:17" x14ac:dyDescent="0.3">
      <c r="A103">
        <f>IF('tips dataset'!$A103="Male",1,0)</f>
        <v>0</v>
      </c>
      <c r="B103">
        <f>IF('tips dataset'!$A103="Female",1,0)</f>
        <v>1</v>
      </c>
      <c r="C103">
        <f>IF('tips dataset'!$B103="Yes",1,0)</f>
        <v>1</v>
      </c>
      <c r="D103">
        <f>IF('tips dataset'!$B103="No",1,0)</f>
        <v>0</v>
      </c>
      <c r="E103">
        <f>IF('tips dataset'!$C103="Sat",1,0)</f>
        <v>0</v>
      </c>
      <c r="F103">
        <f>IF('tips dataset'!$C103="fri",1,0)</f>
        <v>0</v>
      </c>
      <c r="G103">
        <f>IF('tips dataset'!$C103="Sun",1,0)</f>
        <v>0</v>
      </c>
      <c r="H103">
        <f>IF('tips dataset'!$D103="Lunch",1,0)</f>
        <v>1</v>
      </c>
      <c r="I103">
        <f>IF('tips dataset'!$D103="Dinner",1,0)</f>
        <v>0</v>
      </c>
      <c r="J103">
        <f>'tips dataset'!$E103</f>
        <v>2</v>
      </c>
      <c r="K103">
        <v>15.38</v>
      </c>
      <c r="L103">
        <v>3</v>
      </c>
      <c r="M103" s="12">
        <f t="shared" si="4"/>
        <v>0.19505851755526657</v>
      </c>
      <c r="N103" s="11">
        <f t="shared" si="5"/>
        <v>7.69</v>
      </c>
      <c r="O103" s="11">
        <f t="shared" si="6"/>
        <v>1.5</v>
      </c>
      <c r="P103">
        <f>IF('tips dataset'!$C103="thur",1,0)</f>
        <v>1</v>
      </c>
      <c r="Q103" t="str">
        <f t="shared" si="7"/>
        <v>Medium</v>
      </c>
    </row>
    <row r="104" spans="1:17" x14ac:dyDescent="0.3">
      <c r="A104">
        <f>IF('tips dataset'!$A104="Male",1,0)</f>
        <v>0</v>
      </c>
      <c r="B104">
        <f>IF('tips dataset'!$A104="Female",1,0)</f>
        <v>1</v>
      </c>
      <c r="C104">
        <f>IF('tips dataset'!$B104="Yes",1,0)</f>
        <v>0</v>
      </c>
      <c r="D104">
        <f>IF('tips dataset'!$B104="No",1,0)</f>
        <v>1</v>
      </c>
      <c r="E104">
        <f>IF('tips dataset'!$C104="Sat",1,0)</f>
        <v>0</v>
      </c>
      <c r="F104">
        <f>IF('tips dataset'!$C104="fri",1,0)</f>
        <v>0</v>
      </c>
      <c r="G104">
        <f>IF('tips dataset'!$C104="Sun",1,0)</f>
        <v>0</v>
      </c>
      <c r="H104">
        <f>IF('tips dataset'!$D104="Lunch",1,0)</f>
        <v>1</v>
      </c>
      <c r="I104">
        <f>IF('tips dataset'!$D104="Dinner",1,0)</f>
        <v>0</v>
      </c>
      <c r="J104">
        <f>'tips dataset'!$E104</f>
        <v>2</v>
      </c>
      <c r="K104">
        <v>44.3</v>
      </c>
      <c r="L104">
        <v>2.5</v>
      </c>
      <c r="M104" s="12">
        <f t="shared" si="4"/>
        <v>5.6433408577878111E-2</v>
      </c>
      <c r="N104" s="11">
        <f t="shared" si="5"/>
        <v>22.15</v>
      </c>
      <c r="O104" s="11">
        <f t="shared" si="6"/>
        <v>1.25</v>
      </c>
      <c r="P104">
        <f>IF('tips dataset'!$C104="thur",1,0)</f>
        <v>1</v>
      </c>
      <c r="Q104" t="str">
        <f t="shared" si="7"/>
        <v>Premium</v>
      </c>
    </row>
    <row r="105" spans="1:17" x14ac:dyDescent="0.3">
      <c r="A105">
        <f>IF('tips dataset'!$A105="Male",1,0)</f>
        <v>0</v>
      </c>
      <c r="B105">
        <f>IF('tips dataset'!$A105="Female",1,0)</f>
        <v>1</v>
      </c>
      <c r="C105">
        <f>IF('tips dataset'!$B105="Yes",1,0)</f>
        <v>0</v>
      </c>
      <c r="D105">
        <f>IF('tips dataset'!$B105="No",1,0)</f>
        <v>1</v>
      </c>
      <c r="E105">
        <f>IF('tips dataset'!$C105="Sat",1,0)</f>
        <v>1</v>
      </c>
      <c r="F105">
        <f>IF('tips dataset'!$C105="fri",1,0)</f>
        <v>0</v>
      </c>
      <c r="G105">
        <f>IF('tips dataset'!$C105="Sun",1,0)</f>
        <v>0</v>
      </c>
      <c r="H105">
        <f>IF('tips dataset'!$D105="Lunch",1,0)</f>
        <v>0</v>
      </c>
      <c r="I105">
        <f>IF('tips dataset'!$D105="Dinner",1,0)</f>
        <v>1</v>
      </c>
      <c r="J105">
        <f>'tips dataset'!$E105</f>
        <v>2</v>
      </c>
      <c r="K105">
        <v>22.42</v>
      </c>
      <c r="L105">
        <v>3.48</v>
      </c>
      <c r="M105" s="12">
        <f t="shared" si="4"/>
        <v>0.15521855486173058</v>
      </c>
      <c r="N105" s="11">
        <f t="shared" si="5"/>
        <v>11.21</v>
      </c>
      <c r="O105" s="11">
        <f t="shared" si="6"/>
        <v>1.74</v>
      </c>
      <c r="P105">
        <f>IF('tips dataset'!$C105="thur",1,0)</f>
        <v>0</v>
      </c>
      <c r="Q105" t="str">
        <f t="shared" si="7"/>
        <v>Medium</v>
      </c>
    </row>
    <row r="106" spans="1:17" x14ac:dyDescent="0.3">
      <c r="A106">
        <f>IF('tips dataset'!$A106="Male",1,0)</f>
        <v>0</v>
      </c>
      <c r="B106">
        <f>IF('tips dataset'!$A106="Female",1,0)</f>
        <v>1</v>
      </c>
      <c r="C106">
        <f>IF('tips dataset'!$B106="Yes",1,0)</f>
        <v>1</v>
      </c>
      <c r="D106">
        <f>IF('tips dataset'!$B106="No",1,0)</f>
        <v>0</v>
      </c>
      <c r="E106">
        <f>IF('tips dataset'!$C106="Sat",1,0)</f>
        <v>0</v>
      </c>
      <c r="F106">
        <f>IF('tips dataset'!$C106="fri",1,0)</f>
        <v>0</v>
      </c>
      <c r="G106">
        <f>IF('tips dataset'!$C106="Sun",1,0)</f>
        <v>0</v>
      </c>
      <c r="H106">
        <f>IF('tips dataset'!$D106="Lunch",1,0)</f>
        <v>1</v>
      </c>
      <c r="I106">
        <f>IF('tips dataset'!$D106="Dinner",1,0)</f>
        <v>0</v>
      </c>
      <c r="J106">
        <f>'tips dataset'!$E106</f>
        <v>3</v>
      </c>
      <c r="K106">
        <v>20.92</v>
      </c>
      <c r="L106">
        <v>4.08</v>
      </c>
      <c r="M106" s="12">
        <f t="shared" si="4"/>
        <v>0.19502868068833651</v>
      </c>
      <c r="N106" s="11">
        <f t="shared" si="5"/>
        <v>6.9733333333333336</v>
      </c>
      <c r="O106" s="11">
        <f t="shared" si="6"/>
        <v>1.36</v>
      </c>
      <c r="P106">
        <f>IF('tips dataset'!$C106="thur",1,0)</f>
        <v>1</v>
      </c>
      <c r="Q106" t="str">
        <f t="shared" si="7"/>
        <v>Medium</v>
      </c>
    </row>
    <row r="107" spans="1:17" x14ac:dyDescent="0.3">
      <c r="A107">
        <f>IF('tips dataset'!$A107="Male",1,0)</f>
        <v>1</v>
      </c>
      <c r="B107">
        <f>IF('tips dataset'!$A107="Female",1,0)</f>
        <v>0</v>
      </c>
      <c r="C107">
        <f>IF('tips dataset'!$B107="Yes",1,0)</f>
        <v>0</v>
      </c>
      <c r="D107">
        <f>IF('tips dataset'!$B107="No",1,0)</f>
        <v>1</v>
      </c>
      <c r="E107">
        <f>IF('tips dataset'!$C107="Sat",1,0)</f>
        <v>0</v>
      </c>
      <c r="F107">
        <f>IF('tips dataset'!$C107="fri",1,0)</f>
        <v>0</v>
      </c>
      <c r="G107">
        <f>IF('tips dataset'!$C107="Sun",1,0)</f>
        <v>1</v>
      </c>
      <c r="H107">
        <f>IF('tips dataset'!$D107="Lunch",1,0)</f>
        <v>0</v>
      </c>
      <c r="I107">
        <f>IF('tips dataset'!$D107="Dinner",1,0)</f>
        <v>1</v>
      </c>
      <c r="J107">
        <f>'tips dataset'!$E107</f>
        <v>4</v>
      </c>
      <c r="K107">
        <v>15.36</v>
      </c>
      <c r="L107">
        <v>1.64</v>
      </c>
      <c r="M107" s="12">
        <f t="shared" si="4"/>
        <v>0.10677083333333333</v>
      </c>
      <c r="N107" s="11">
        <f t="shared" si="5"/>
        <v>3.84</v>
      </c>
      <c r="O107" s="11">
        <f t="shared" si="6"/>
        <v>0.41</v>
      </c>
      <c r="P107">
        <f>IF('tips dataset'!$C107="thur",1,0)</f>
        <v>0</v>
      </c>
      <c r="Q107" t="str">
        <f t="shared" si="7"/>
        <v>Medium</v>
      </c>
    </row>
    <row r="108" spans="1:17" x14ac:dyDescent="0.3">
      <c r="A108">
        <f>IF('tips dataset'!$A108="Male",1,0)</f>
        <v>1</v>
      </c>
      <c r="B108">
        <f>IF('tips dataset'!$A108="Female",1,0)</f>
        <v>0</v>
      </c>
      <c r="C108">
        <f>IF('tips dataset'!$B108="Yes",1,0)</f>
        <v>1</v>
      </c>
      <c r="D108">
        <f>IF('tips dataset'!$B108="No",1,0)</f>
        <v>0</v>
      </c>
      <c r="E108">
        <f>IF('tips dataset'!$C108="Sat",1,0)</f>
        <v>0</v>
      </c>
      <c r="F108">
        <f>IF('tips dataset'!$C108="fri",1,0)</f>
        <v>0</v>
      </c>
      <c r="G108">
        <f>IF('tips dataset'!$C108="Sun",1,0)</f>
        <v>0</v>
      </c>
      <c r="H108">
        <f>IF('tips dataset'!$D108="Lunch",1,0)</f>
        <v>1</v>
      </c>
      <c r="I108">
        <f>IF('tips dataset'!$D108="Dinner",1,0)</f>
        <v>0</v>
      </c>
      <c r="J108">
        <f>'tips dataset'!$E108</f>
        <v>2</v>
      </c>
      <c r="K108">
        <v>20.49</v>
      </c>
      <c r="L108">
        <v>4.0599999999999996</v>
      </c>
      <c r="M108" s="12">
        <f t="shared" si="4"/>
        <v>0.19814543679843827</v>
      </c>
      <c r="N108" s="11">
        <f t="shared" si="5"/>
        <v>10.244999999999999</v>
      </c>
      <c r="O108" s="11">
        <f t="shared" si="6"/>
        <v>2.0299999999999998</v>
      </c>
      <c r="P108">
        <f>IF('tips dataset'!$C108="thur",1,0)</f>
        <v>1</v>
      </c>
      <c r="Q108" t="str">
        <f t="shared" si="7"/>
        <v>Medium</v>
      </c>
    </row>
    <row r="109" spans="1:17" x14ac:dyDescent="0.3">
      <c r="A109">
        <f>IF('tips dataset'!$A109="Male",1,0)</f>
        <v>1</v>
      </c>
      <c r="B109">
        <f>IF('tips dataset'!$A109="Female",1,0)</f>
        <v>0</v>
      </c>
      <c r="C109">
        <f>IF('tips dataset'!$B109="Yes",1,0)</f>
        <v>0</v>
      </c>
      <c r="D109">
        <f>IF('tips dataset'!$B109="No",1,0)</f>
        <v>1</v>
      </c>
      <c r="E109">
        <f>IF('tips dataset'!$C109="Sat",1,0)</f>
        <v>0</v>
      </c>
      <c r="F109">
        <f>IF('tips dataset'!$C109="fri",1,0)</f>
        <v>0</v>
      </c>
      <c r="G109">
        <f>IF('tips dataset'!$C109="Sun",1,0)</f>
        <v>0</v>
      </c>
      <c r="H109">
        <f>IF('tips dataset'!$D109="Lunch",1,0)</f>
        <v>1</v>
      </c>
      <c r="I109">
        <f>IF('tips dataset'!$D109="Dinner",1,0)</f>
        <v>0</v>
      </c>
      <c r="J109">
        <f>'tips dataset'!$E109</f>
        <v>2</v>
      </c>
      <c r="K109">
        <v>25.21</v>
      </c>
      <c r="L109">
        <v>4.29</v>
      </c>
      <c r="M109" s="12">
        <f t="shared" si="4"/>
        <v>0.17017056723522411</v>
      </c>
      <c r="N109" s="11">
        <f t="shared" si="5"/>
        <v>12.605</v>
      </c>
      <c r="O109" s="11">
        <f t="shared" si="6"/>
        <v>2.145</v>
      </c>
      <c r="P109">
        <f>IF('tips dataset'!$C109="thur",1,0)</f>
        <v>1</v>
      </c>
      <c r="Q109" t="str">
        <f t="shared" si="7"/>
        <v>High</v>
      </c>
    </row>
    <row r="110" spans="1:17" x14ac:dyDescent="0.3">
      <c r="A110">
        <f>IF('tips dataset'!$A110="Male",1,0)</f>
        <v>1</v>
      </c>
      <c r="B110">
        <f>IF('tips dataset'!$A110="Female",1,0)</f>
        <v>0</v>
      </c>
      <c r="C110">
        <f>IF('tips dataset'!$B110="Yes",1,0)</f>
        <v>1</v>
      </c>
      <c r="D110">
        <f>IF('tips dataset'!$B110="No",1,0)</f>
        <v>0</v>
      </c>
      <c r="E110">
        <f>IF('tips dataset'!$C110="Sat",1,0)</f>
        <v>0</v>
      </c>
      <c r="F110">
        <f>IF('tips dataset'!$C110="fri",1,0)</f>
        <v>0</v>
      </c>
      <c r="G110">
        <f>IF('tips dataset'!$C110="Sun",1,0)</f>
        <v>1</v>
      </c>
      <c r="H110">
        <f>IF('tips dataset'!$D110="Lunch",1,0)</f>
        <v>0</v>
      </c>
      <c r="I110">
        <f>IF('tips dataset'!$D110="Dinner",1,0)</f>
        <v>1</v>
      </c>
      <c r="J110">
        <f>'tips dataset'!$E110</f>
        <v>2</v>
      </c>
      <c r="K110">
        <v>18.239999999999998</v>
      </c>
      <c r="L110">
        <v>3.76</v>
      </c>
      <c r="M110" s="12">
        <f t="shared" si="4"/>
        <v>0.20614035087719298</v>
      </c>
      <c r="N110" s="11">
        <f t="shared" si="5"/>
        <v>9.1199999999999992</v>
      </c>
      <c r="O110" s="11">
        <f t="shared" si="6"/>
        <v>1.88</v>
      </c>
      <c r="P110">
        <f>IF('tips dataset'!$C110="thur",1,0)</f>
        <v>0</v>
      </c>
      <c r="Q110" t="str">
        <f t="shared" si="7"/>
        <v>Medium</v>
      </c>
    </row>
    <row r="111" spans="1:17" x14ac:dyDescent="0.3">
      <c r="A111">
        <f>IF('tips dataset'!$A111="Male",1,0)</f>
        <v>0</v>
      </c>
      <c r="B111">
        <f>IF('tips dataset'!$A111="Female",1,0)</f>
        <v>1</v>
      </c>
      <c r="C111">
        <f>IF('tips dataset'!$B111="Yes",1,0)</f>
        <v>0</v>
      </c>
      <c r="D111">
        <f>IF('tips dataset'!$B111="No",1,0)</f>
        <v>1</v>
      </c>
      <c r="E111">
        <f>IF('tips dataset'!$C111="Sat",1,0)</f>
        <v>1</v>
      </c>
      <c r="F111">
        <f>IF('tips dataset'!$C111="fri",1,0)</f>
        <v>0</v>
      </c>
      <c r="G111">
        <f>IF('tips dataset'!$C111="Sun",1,0)</f>
        <v>0</v>
      </c>
      <c r="H111">
        <f>IF('tips dataset'!$D111="Lunch",1,0)</f>
        <v>0</v>
      </c>
      <c r="I111">
        <f>IF('tips dataset'!$D111="Dinner",1,0)</f>
        <v>1</v>
      </c>
      <c r="J111">
        <f>'tips dataset'!$E111</f>
        <v>3</v>
      </c>
      <c r="K111">
        <v>14.31</v>
      </c>
      <c r="L111">
        <v>4</v>
      </c>
      <c r="M111" s="12">
        <f t="shared" si="4"/>
        <v>0.27952480782669459</v>
      </c>
      <c r="N111" s="11">
        <f t="shared" si="5"/>
        <v>4.7700000000000005</v>
      </c>
      <c r="O111" s="11">
        <f t="shared" si="6"/>
        <v>1.3333333333333333</v>
      </c>
      <c r="P111">
        <f>IF('tips dataset'!$C111="thur",1,0)</f>
        <v>0</v>
      </c>
      <c r="Q111" t="str">
        <f t="shared" si="7"/>
        <v>Low</v>
      </c>
    </row>
    <row r="112" spans="1:17" x14ac:dyDescent="0.3">
      <c r="A112">
        <f>IF('tips dataset'!$A112="Male",1,0)</f>
        <v>0</v>
      </c>
      <c r="B112">
        <f>IF('tips dataset'!$A112="Female",1,0)</f>
        <v>1</v>
      </c>
      <c r="C112">
        <f>IF('tips dataset'!$B112="Yes",1,0)</f>
        <v>0</v>
      </c>
      <c r="D112">
        <f>IF('tips dataset'!$B112="No",1,0)</f>
        <v>1</v>
      </c>
      <c r="E112">
        <f>IF('tips dataset'!$C112="Sat",1,0)</f>
        <v>0</v>
      </c>
      <c r="F112">
        <f>IF('tips dataset'!$C112="fri",1,0)</f>
        <v>0</v>
      </c>
      <c r="G112">
        <f>IF('tips dataset'!$C112="Sun",1,0)</f>
        <v>1</v>
      </c>
      <c r="H112">
        <f>IF('tips dataset'!$D112="Lunch",1,0)</f>
        <v>0</v>
      </c>
      <c r="I112">
        <f>IF('tips dataset'!$D112="Dinner",1,0)</f>
        <v>1</v>
      </c>
      <c r="J112">
        <f>'tips dataset'!$E112</f>
        <v>3</v>
      </c>
      <c r="K112">
        <v>14</v>
      </c>
      <c r="L112">
        <v>3</v>
      </c>
      <c r="M112" s="12">
        <f t="shared" si="4"/>
        <v>0.21428571428571427</v>
      </c>
      <c r="N112" s="11">
        <f t="shared" si="5"/>
        <v>4.666666666666667</v>
      </c>
      <c r="O112" s="11">
        <f t="shared" si="6"/>
        <v>1</v>
      </c>
      <c r="P112">
        <f>IF('tips dataset'!$C112="thur",1,0)</f>
        <v>0</v>
      </c>
      <c r="Q112" t="str">
        <f t="shared" si="7"/>
        <v>Low</v>
      </c>
    </row>
    <row r="113" spans="1:17" x14ac:dyDescent="0.3">
      <c r="A113">
        <f>IF('tips dataset'!$A113="Male",1,0)</f>
        <v>0</v>
      </c>
      <c r="B113">
        <f>IF('tips dataset'!$A113="Female",1,0)</f>
        <v>1</v>
      </c>
      <c r="C113">
        <f>IF('tips dataset'!$B113="Yes",1,0)</f>
        <v>0</v>
      </c>
      <c r="D113">
        <f>IF('tips dataset'!$B113="No",1,0)</f>
        <v>1</v>
      </c>
      <c r="E113">
        <f>IF('tips dataset'!$C113="Sat",1,0)</f>
        <v>0</v>
      </c>
      <c r="F113">
        <f>IF('tips dataset'!$C113="fri",1,0)</f>
        <v>0</v>
      </c>
      <c r="G113">
        <f>IF('tips dataset'!$C113="Sun",1,0)</f>
        <v>1</v>
      </c>
      <c r="H113">
        <f>IF('tips dataset'!$D113="Lunch",1,0)</f>
        <v>0</v>
      </c>
      <c r="I113">
        <f>IF('tips dataset'!$D113="Dinner",1,0)</f>
        <v>1</v>
      </c>
      <c r="J113">
        <f>'tips dataset'!$E113</f>
        <v>2</v>
      </c>
      <c r="K113">
        <v>7.25</v>
      </c>
      <c r="L113">
        <v>1</v>
      </c>
      <c r="M113" s="12">
        <f t="shared" si="4"/>
        <v>0.13793103448275862</v>
      </c>
      <c r="N113" s="11">
        <f t="shared" si="5"/>
        <v>3.625</v>
      </c>
      <c r="O113" s="11">
        <f t="shared" si="6"/>
        <v>0.5</v>
      </c>
      <c r="P113">
        <f>IF('tips dataset'!$C113="thur",1,0)</f>
        <v>0</v>
      </c>
      <c r="Q113" t="str">
        <f t="shared" si="7"/>
        <v>Low</v>
      </c>
    </row>
    <row r="114" spans="1:17" x14ac:dyDescent="0.3">
      <c r="A114">
        <f>IF('tips dataset'!$A114="Male",1,0)</f>
        <v>0</v>
      </c>
      <c r="B114">
        <f>IF('tips dataset'!$A114="Female",1,0)</f>
        <v>1</v>
      </c>
      <c r="C114">
        <f>IF('tips dataset'!$B114="Yes",1,0)</f>
        <v>0</v>
      </c>
      <c r="D114">
        <f>IF('tips dataset'!$B114="No",1,0)</f>
        <v>1</v>
      </c>
      <c r="E114">
        <f>IF('tips dataset'!$C114="Sat",1,0)</f>
        <v>1</v>
      </c>
      <c r="F114">
        <f>IF('tips dataset'!$C114="fri",1,0)</f>
        <v>0</v>
      </c>
      <c r="G114">
        <f>IF('tips dataset'!$C114="Sun",1,0)</f>
        <v>0</v>
      </c>
      <c r="H114">
        <f>IF('tips dataset'!$D114="Lunch",1,0)</f>
        <v>0</v>
      </c>
      <c r="I114">
        <f>IF('tips dataset'!$D114="Dinner",1,0)</f>
        <v>1</v>
      </c>
      <c r="J114">
        <f>'tips dataset'!$E114</f>
        <v>3</v>
      </c>
      <c r="K114">
        <v>38.07</v>
      </c>
      <c r="L114">
        <v>4</v>
      </c>
      <c r="M114" s="12">
        <f t="shared" si="4"/>
        <v>0.10506960861570791</v>
      </c>
      <c r="N114" s="11">
        <f t="shared" si="5"/>
        <v>12.69</v>
      </c>
      <c r="O114" s="11">
        <f t="shared" si="6"/>
        <v>1.3333333333333333</v>
      </c>
      <c r="P114">
        <f>IF('tips dataset'!$C114="thur",1,0)</f>
        <v>0</v>
      </c>
      <c r="Q114" t="str">
        <f t="shared" si="7"/>
        <v>Premium</v>
      </c>
    </row>
    <row r="115" spans="1:17" x14ac:dyDescent="0.3">
      <c r="A115">
        <f>IF('tips dataset'!$A115="Male",1,0)</f>
        <v>1</v>
      </c>
      <c r="B115">
        <f>IF('tips dataset'!$A115="Female",1,0)</f>
        <v>0</v>
      </c>
      <c r="C115">
        <f>IF('tips dataset'!$B115="Yes",1,0)</f>
        <v>0</v>
      </c>
      <c r="D115">
        <f>IF('tips dataset'!$B115="No",1,0)</f>
        <v>1</v>
      </c>
      <c r="E115">
        <f>IF('tips dataset'!$C115="Sat",1,0)</f>
        <v>0</v>
      </c>
      <c r="F115">
        <f>IF('tips dataset'!$C115="fri",1,0)</f>
        <v>0</v>
      </c>
      <c r="G115">
        <f>IF('tips dataset'!$C115="Sun",1,0)</f>
        <v>1</v>
      </c>
      <c r="H115">
        <f>IF('tips dataset'!$D115="Lunch",1,0)</f>
        <v>0</v>
      </c>
      <c r="I115">
        <f>IF('tips dataset'!$D115="Dinner",1,0)</f>
        <v>1</v>
      </c>
      <c r="J115">
        <f>'tips dataset'!$E115</f>
        <v>3</v>
      </c>
      <c r="K115">
        <v>23.95</v>
      </c>
      <c r="L115">
        <v>2.5499999999999998</v>
      </c>
      <c r="M115" s="12">
        <f t="shared" si="4"/>
        <v>0.10647181628392484</v>
      </c>
      <c r="N115" s="11">
        <f t="shared" si="5"/>
        <v>7.9833333333333334</v>
      </c>
      <c r="O115" s="11">
        <f t="shared" si="6"/>
        <v>0.85</v>
      </c>
      <c r="P115">
        <f>IF('tips dataset'!$C115="thur",1,0)</f>
        <v>0</v>
      </c>
      <c r="Q115" t="str">
        <f t="shared" si="7"/>
        <v>Medium</v>
      </c>
    </row>
    <row r="116" spans="1:17" x14ac:dyDescent="0.3">
      <c r="A116">
        <f>IF('tips dataset'!$A116="Male",1,0)</f>
        <v>1</v>
      </c>
      <c r="B116">
        <f>IF('tips dataset'!$A116="Female",1,0)</f>
        <v>0</v>
      </c>
      <c r="C116">
        <f>IF('tips dataset'!$B116="Yes",1,0)</f>
        <v>0</v>
      </c>
      <c r="D116">
        <f>IF('tips dataset'!$B116="No",1,0)</f>
        <v>1</v>
      </c>
      <c r="E116">
        <f>IF('tips dataset'!$C116="Sat",1,0)</f>
        <v>0</v>
      </c>
      <c r="F116">
        <f>IF('tips dataset'!$C116="fri",1,0)</f>
        <v>0</v>
      </c>
      <c r="G116">
        <f>IF('tips dataset'!$C116="Sun",1,0)</f>
        <v>0</v>
      </c>
      <c r="H116">
        <f>IF('tips dataset'!$D116="Lunch",1,0)</f>
        <v>1</v>
      </c>
      <c r="I116">
        <f>IF('tips dataset'!$D116="Dinner",1,0)</f>
        <v>0</v>
      </c>
      <c r="J116">
        <f>'tips dataset'!$E116</f>
        <v>2</v>
      </c>
      <c r="K116">
        <v>25.71</v>
      </c>
      <c r="L116">
        <v>4</v>
      </c>
      <c r="M116" s="12">
        <f t="shared" si="4"/>
        <v>0.15558148580318942</v>
      </c>
      <c r="N116" s="11">
        <f t="shared" si="5"/>
        <v>12.855</v>
      </c>
      <c r="O116" s="11">
        <f t="shared" si="6"/>
        <v>2</v>
      </c>
      <c r="P116">
        <f>IF('tips dataset'!$C116="thur",1,0)</f>
        <v>1</v>
      </c>
      <c r="Q116" t="str">
        <f t="shared" si="7"/>
        <v>High</v>
      </c>
    </row>
    <row r="117" spans="1:17" x14ac:dyDescent="0.3">
      <c r="A117">
        <f>IF('tips dataset'!$A117="Male",1,0)</f>
        <v>0</v>
      </c>
      <c r="B117">
        <f>IF('tips dataset'!$A117="Female",1,0)</f>
        <v>1</v>
      </c>
      <c r="C117">
        <f>IF('tips dataset'!$B117="Yes",1,0)</f>
        <v>0</v>
      </c>
      <c r="D117">
        <f>IF('tips dataset'!$B117="No",1,0)</f>
        <v>1</v>
      </c>
      <c r="E117">
        <f>IF('tips dataset'!$C117="Sat",1,0)</f>
        <v>0</v>
      </c>
      <c r="F117">
        <f>IF('tips dataset'!$C117="fri",1,0)</f>
        <v>0</v>
      </c>
      <c r="G117">
        <f>IF('tips dataset'!$C117="Sun",1,0)</f>
        <v>1</v>
      </c>
      <c r="H117">
        <f>IF('tips dataset'!$D117="Lunch",1,0)</f>
        <v>0</v>
      </c>
      <c r="I117">
        <f>IF('tips dataset'!$D117="Dinner",1,0)</f>
        <v>1</v>
      </c>
      <c r="J117">
        <f>'tips dataset'!$E117</f>
        <v>2</v>
      </c>
      <c r="K117">
        <v>17.309999999999999</v>
      </c>
      <c r="L117">
        <v>3.5</v>
      </c>
      <c r="M117" s="12">
        <f t="shared" si="4"/>
        <v>0.20219526285384173</v>
      </c>
      <c r="N117" s="11">
        <f t="shared" si="5"/>
        <v>8.6549999999999994</v>
      </c>
      <c r="O117" s="11">
        <f t="shared" si="6"/>
        <v>1.75</v>
      </c>
      <c r="P117">
        <f>IF('tips dataset'!$C117="thur",1,0)</f>
        <v>0</v>
      </c>
      <c r="Q117" t="str">
        <f t="shared" si="7"/>
        <v>Medium</v>
      </c>
    </row>
    <row r="118" spans="1:17" x14ac:dyDescent="0.3">
      <c r="A118">
        <f>IF('tips dataset'!$A118="Male",1,0)</f>
        <v>1</v>
      </c>
      <c r="B118">
        <f>IF('tips dataset'!$A118="Female",1,0)</f>
        <v>0</v>
      </c>
      <c r="C118">
        <f>IF('tips dataset'!$B118="Yes",1,0)</f>
        <v>0</v>
      </c>
      <c r="D118">
        <f>IF('tips dataset'!$B118="No",1,0)</f>
        <v>1</v>
      </c>
      <c r="E118">
        <f>IF('tips dataset'!$C118="Sat",1,0)</f>
        <v>0</v>
      </c>
      <c r="F118">
        <f>IF('tips dataset'!$C118="fri",1,0)</f>
        <v>0</v>
      </c>
      <c r="G118">
        <f>IF('tips dataset'!$C118="Sun",1,0)</f>
        <v>1</v>
      </c>
      <c r="H118">
        <f>IF('tips dataset'!$D118="Lunch",1,0)</f>
        <v>0</v>
      </c>
      <c r="I118">
        <f>IF('tips dataset'!$D118="Dinner",1,0)</f>
        <v>1</v>
      </c>
      <c r="J118">
        <f>'tips dataset'!$E118</f>
        <v>2</v>
      </c>
      <c r="K118">
        <v>29.93</v>
      </c>
      <c r="L118">
        <v>5.07</v>
      </c>
      <c r="M118" s="12">
        <f t="shared" si="4"/>
        <v>0.1693952555963916</v>
      </c>
      <c r="N118" s="11">
        <f t="shared" si="5"/>
        <v>14.965</v>
      </c>
      <c r="O118" s="11">
        <f t="shared" si="6"/>
        <v>2.5350000000000001</v>
      </c>
      <c r="P118">
        <f>IF('tips dataset'!$C118="thur",1,0)</f>
        <v>0</v>
      </c>
      <c r="Q118" t="str">
        <f t="shared" si="7"/>
        <v>High</v>
      </c>
    </row>
    <row r="119" spans="1:17" x14ac:dyDescent="0.3">
      <c r="A119">
        <f>IF('tips dataset'!$A119="Male",1,0)</f>
        <v>0</v>
      </c>
      <c r="B119">
        <f>IF('tips dataset'!$A119="Female",1,0)</f>
        <v>1</v>
      </c>
      <c r="C119">
        <f>IF('tips dataset'!$B119="Yes",1,0)</f>
        <v>0</v>
      </c>
      <c r="D119">
        <f>IF('tips dataset'!$B119="No",1,0)</f>
        <v>1</v>
      </c>
      <c r="E119">
        <f>IF('tips dataset'!$C119="Sat",1,0)</f>
        <v>0</v>
      </c>
      <c r="F119">
        <f>IF('tips dataset'!$C119="fri",1,0)</f>
        <v>0</v>
      </c>
      <c r="G119">
        <f>IF('tips dataset'!$C119="Sun",1,0)</f>
        <v>0</v>
      </c>
      <c r="H119">
        <f>IF('tips dataset'!$D119="Lunch",1,0)</f>
        <v>1</v>
      </c>
      <c r="I119">
        <f>IF('tips dataset'!$D119="Dinner",1,0)</f>
        <v>0</v>
      </c>
      <c r="J119">
        <f>'tips dataset'!$E119</f>
        <v>2</v>
      </c>
      <c r="K119">
        <v>10.65</v>
      </c>
      <c r="L119">
        <v>1.5</v>
      </c>
      <c r="M119" s="12">
        <f t="shared" si="4"/>
        <v>0.14084507042253522</v>
      </c>
      <c r="N119" s="11">
        <f t="shared" si="5"/>
        <v>5.3250000000000002</v>
      </c>
      <c r="O119" s="11">
        <f t="shared" si="6"/>
        <v>0.75</v>
      </c>
      <c r="P119">
        <f>IF('tips dataset'!$C119="thur",1,0)</f>
        <v>1</v>
      </c>
      <c r="Q119" t="str">
        <f t="shared" si="7"/>
        <v>Low</v>
      </c>
    </row>
    <row r="120" spans="1:17" x14ac:dyDescent="0.3">
      <c r="A120">
        <f>IF('tips dataset'!$A120="Male",1,0)</f>
        <v>0</v>
      </c>
      <c r="B120">
        <f>IF('tips dataset'!$A120="Female",1,0)</f>
        <v>1</v>
      </c>
      <c r="C120">
        <f>IF('tips dataset'!$B120="Yes",1,0)</f>
        <v>1</v>
      </c>
      <c r="D120">
        <f>IF('tips dataset'!$B120="No",1,0)</f>
        <v>0</v>
      </c>
      <c r="E120">
        <f>IF('tips dataset'!$C120="Sat",1,0)</f>
        <v>0</v>
      </c>
      <c r="F120">
        <f>IF('tips dataset'!$C120="fri",1,0)</f>
        <v>0</v>
      </c>
      <c r="G120">
        <f>IF('tips dataset'!$C120="Sun",1,0)</f>
        <v>1</v>
      </c>
      <c r="H120">
        <f>IF('tips dataset'!$D120="Lunch",1,0)</f>
        <v>0</v>
      </c>
      <c r="I120">
        <f>IF('tips dataset'!$D120="Dinner",1,0)</f>
        <v>1</v>
      </c>
      <c r="J120">
        <f>'tips dataset'!$E120</f>
        <v>2</v>
      </c>
      <c r="K120">
        <v>12.43</v>
      </c>
      <c r="L120">
        <v>1.8</v>
      </c>
      <c r="M120" s="12">
        <f t="shared" si="4"/>
        <v>0.14481094127111827</v>
      </c>
      <c r="N120" s="11">
        <f t="shared" si="5"/>
        <v>6.2149999999999999</v>
      </c>
      <c r="O120" s="11">
        <f t="shared" si="6"/>
        <v>0.9</v>
      </c>
      <c r="P120">
        <f>IF('tips dataset'!$C120="thur",1,0)</f>
        <v>0</v>
      </c>
      <c r="Q120" t="str">
        <f t="shared" si="7"/>
        <v>Low</v>
      </c>
    </row>
    <row r="121" spans="1:17" x14ac:dyDescent="0.3">
      <c r="A121">
        <f>IF('tips dataset'!$A121="Male",1,0)</f>
        <v>1</v>
      </c>
      <c r="B121">
        <f>IF('tips dataset'!$A121="Female",1,0)</f>
        <v>0</v>
      </c>
      <c r="C121">
        <f>IF('tips dataset'!$B121="Yes",1,0)</f>
        <v>0</v>
      </c>
      <c r="D121">
        <f>IF('tips dataset'!$B121="No",1,0)</f>
        <v>1</v>
      </c>
      <c r="E121">
        <f>IF('tips dataset'!$C121="Sat",1,0)</f>
        <v>1</v>
      </c>
      <c r="F121">
        <f>IF('tips dataset'!$C121="fri",1,0)</f>
        <v>0</v>
      </c>
      <c r="G121">
        <f>IF('tips dataset'!$C121="Sun",1,0)</f>
        <v>0</v>
      </c>
      <c r="H121">
        <f>IF('tips dataset'!$D121="Lunch",1,0)</f>
        <v>0</v>
      </c>
      <c r="I121">
        <f>IF('tips dataset'!$D121="Dinner",1,0)</f>
        <v>1</v>
      </c>
      <c r="J121">
        <f>'tips dataset'!$E121</f>
        <v>3</v>
      </c>
      <c r="K121">
        <v>24.08</v>
      </c>
      <c r="L121">
        <v>2.92</v>
      </c>
      <c r="M121" s="12">
        <f t="shared" si="4"/>
        <v>0.1212624584717608</v>
      </c>
      <c r="N121" s="11">
        <f t="shared" si="5"/>
        <v>8.0266666666666655</v>
      </c>
      <c r="O121" s="11">
        <f t="shared" si="6"/>
        <v>0.97333333333333327</v>
      </c>
      <c r="P121">
        <f>IF('tips dataset'!$C121="thur",1,0)</f>
        <v>0</v>
      </c>
      <c r="Q121" t="str">
        <f t="shared" si="7"/>
        <v>Medium</v>
      </c>
    </row>
    <row r="122" spans="1:17" x14ac:dyDescent="0.3">
      <c r="A122">
        <f>IF('tips dataset'!$A122="Male",1,0)</f>
        <v>1</v>
      </c>
      <c r="B122">
        <f>IF('tips dataset'!$A122="Female",1,0)</f>
        <v>0</v>
      </c>
      <c r="C122">
        <f>IF('tips dataset'!$B122="Yes",1,0)</f>
        <v>0</v>
      </c>
      <c r="D122">
        <f>IF('tips dataset'!$B122="No",1,0)</f>
        <v>1</v>
      </c>
      <c r="E122">
        <f>IF('tips dataset'!$C122="Sat",1,0)</f>
        <v>1</v>
      </c>
      <c r="F122">
        <f>IF('tips dataset'!$C122="fri",1,0)</f>
        <v>0</v>
      </c>
      <c r="G122">
        <f>IF('tips dataset'!$C122="Sun",1,0)</f>
        <v>0</v>
      </c>
      <c r="H122">
        <f>IF('tips dataset'!$D122="Lunch",1,0)</f>
        <v>0</v>
      </c>
      <c r="I122">
        <f>IF('tips dataset'!$D122="Dinner",1,0)</f>
        <v>1</v>
      </c>
      <c r="J122">
        <f>'tips dataset'!$E122</f>
        <v>2</v>
      </c>
      <c r="K122">
        <v>11.69</v>
      </c>
      <c r="L122">
        <v>2.31</v>
      </c>
      <c r="M122" s="12">
        <f t="shared" si="4"/>
        <v>0.19760479041916168</v>
      </c>
      <c r="N122" s="11">
        <f t="shared" si="5"/>
        <v>5.8449999999999998</v>
      </c>
      <c r="O122" s="11">
        <f t="shared" si="6"/>
        <v>1.155</v>
      </c>
      <c r="P122">
        <f>IF('tips dataset'!$C122="thur",1,0)</f>
        <v>0</v>
      </c>
      <c r="Q122" t="str">
        <f t="shared" si="7"/>
        <v>Low</v>
      </c>
    </row>
    <row r="123" spans="1:17" x14ac:dyDescent="0.3">
      <c r="A123">
        <f>IF('tips dataset'!$A123="Male",1,0)</f>
        <v>1</v>
      </c>
      <c r="B123">
        <f>IF('tips dataset'!$A123="Female",1,0)</f>
        <v>0</v>
      </c>
      <c r="C123">
        <f>IF('tips dataset'!$B123="Yes",1,0)</f>
        <v>0</v>
      </c>
      <c r="D123">
        <f>IF('tips dataset'!$B123="No",1,0)</f>
        <v>1</v>
      </c>
      <c r="E123">
        <f>IF('tips dataset'!$C123="Sat",1,0)</f>
        <v>1</v>
      </c>
      <c r="F123">
        <f>IF('tips dataset'!$C123="fri",1,0)</f>
        <v>0</v>
      </c>
      <c r="G123">
        <f>IF('tips dataset'!$C123="Sun",1,0)</f>
        <v>0</v>
      </c>
      <c r="H123">
        <f>IF('tips dataset'!$D123="Lunch",1,0)</f>
        <v>0</v>
      </c>
      <c r="I123">
        <f>IF('tips dataset'!$D123="Dinner",1,0)</f>
        <v>1</v>
      </c>
      <c r="J123">
        <f>'tips dataset'!$E123</f>
        <v>4</v>
      </c>
      <c r="K123">
        <v>13.42</v>
      </c>
      <c r="L123">
        <v>1.68</v>
      </c>
      <c r="M123" s="12">
        <f t="shared" si="4"/>
        <v>0.12518628912071533</v>
      </c>
      <c r="N123" s="11">
        <f t="shared" si="5"/>
        <v>3.355</v>
      </c>
      <c r="O123" s="11">
        <f t="shared" si="6"/>
        <v>0.42</v>
      </c>
      <c r="P123">
        <f>IF('tips dataset'!$C123="thur",1,0)</f>
        <v>0</v>
      </c>
      <c r="Q123" t="str">
        <f t="shared" si="7"/>
        <v>Low</v>
      </c>
    </row>
    <row r="124" spans="1:17" x14ac:dyDescent="0.3">
      <c r="A124">
        <f>IF('tips dataset'!$A124="Male",1,0)</f>
        <v>1</v>
      </c>
      <c r="B124">
        <f>IF('tips dataset'!$A124="Female",1,0)</f>
        <v>0</v>
      </c>
      <c r="C124">
        <f>IF('tips dataset'!$B124="Yes",1,0)</f>
        <v>0</v>
      </c>
      <c r="D124">
        <f>IF('tips dataset'!$B124="No",1,0)</f>
        <v>1</v>
      </c>
      <c r="E124">
        <f>IF('tips dataset'!$C124="Sat",1,0)</f>
        <v>1</v>
      </c>
      <c r="F124">
        <f>IF('tips dataset'!$C124="fri",1,0)</f>
        <v>0</v>
      </c>
      <c r="G124">
        <f>IF('tips dataset'!$C124="Sun",1,0)</f>
        <v>0</v>
      </c>
      <c r="H124">
        <f>IF('tips dataset'!$D124="Lunch",1,0)</f>
        <v>0</v>
      </c>
      <c r="I124">
        <f>IF('tips dataset'!$D124="Dinner",1,0)</f>
        <v>1</v>
      </c>
      <c r="J124">
        <f>'tips dataset'!$E124</f>
        <v>2</v>
      </c>
      <c r="K124">
        <v>14.26</v>
      </c>
      <c r="L124">
        <v>2.5</v>
      </c>
      <c r="M124" s="12">
        <f t="shared" si="4"/>
        <v>0.17531556802244039</v>
      </c>
      <c r="N124" s="11">
        <f t="shared" si="5"/>
        <v>7.13</v>
      </c>
      <c r="O124" s="11">
        <f t="shared" si="6"/>
        <v>1.25</v>
      </c>
      <c r="P124">
        <f>IF('tips dataset'!$C124="thur",1,0)</f>
        <v>0</v>
      </c>
      <c r="Q124" t="str">
        <f t="shared" si="7"/>
        <v>Low</v>
      </c>
    </row>
    <row r="125" spans="1:17" x14ac:dyDescent="0.3">
      <c r="A125">
        <f>IF('tips dataset'!$A125="Male",1,0)</f>
        <v>1</v>
      </c>
      <c r="B125">
        <f>IF('tips dataset'!$A125="Female",1,0)</f>
        <v>0</v>
      </c>
      <c r="C125">
        <f>IF('tips dataset'!$B125="Yes",1,0)</f>
        <v>1</v>
      </c>
      <c r="D125">
        <f>IF('tips dataset'!$B125="No",1,0)</f>
        <v>0</v>
      </c>
      <c r="E125">
        <f>IF('tips dataset'!$C125="Sat",1,0)</f>
        <v>0</v>
      </c>
      <c r="F125">
        <f>IF('tips dataset'!$C125="fri",1,0)</f>
        <v>0</v>
      </c>
      <c r="G125">
        <f>IF('tips dataset'!$C125="Sun",1,0)</f>
        <v>1</v>
      </c>
      <c r="H125">
        <f>IF('tips dataset'!$D125="Lunch",1,0)</f>
        <v>0</v>
      </c>
      <c r="I125">
        <f>IF('tips dataset'!$D125="Dinner",1,0)</f>
        <v>1</v>
      </c>
      <c r="J125">
        <f>'tips dataset'!$E125</f>
        <v>2</v>
      </c>
      <c r="K125">
        <v>15.95</v>
      </c>
      <c r="L125">
        <v>2</v>
      </c>
      <c r="M125" s="12">
        <f t="shared" si="4"/>
        <v>0.12539184952978058</v>
      </c>
      <c r="N125" s="11">
        <f t="shared" si="5"/>
        <v>7.9749999999999996</v>
      </c>
      <c r="O125" s="11">
        <f t="shared" si="6"/>
        <v>1</v>
      </c>
      <c r="P125">
        <f>IF('tips dataset'!$C125="thur",1,0)</f>
        <v>0</v>
      </c>
      <c r="Q125" t="str">
        <f t="shared" si="7"/>
        <v>Medium</v>
      </c>
    </row>
    <row r="126" spans="1:17" x14ac:dyDescent="0.3">
      <c r="A126">
        <f>IF('tips dataset'!$A126="Male",1,0)</f>
        <v>1</v>
      </c>
      <c r="B126">
        <f>IF('tips dataset'!$A126="Female",1,0)</f>
        <v>0</v>
      </c>
      <c r="C126">
        <f>IF('tips dataset'!$B126="Yes",1,0)</f>
        <v>0</v>
      </c>
      <c r="D126">
        <f>IF('tips dataset'!$B126="No",1,0)</f>
        <v>1</v>
      </c>
      <c r="E126">
        <f>IF('tips dataset'!$C126="Sat",1,0)</f>
        <v>1</v>
      </c>
      <c r="F126">
        <f>IF('tips dataset'!$C126="fri",1,0)</f>
        <v>0</v>
      </c>
      <c r="G126">
        <f>IF('tips dataset'!$C126="Sun",1,0)</f>
        <v>0</v>
      </c>
      <c r="H126">
        <f>IF('tips dataset'!$D126="Lunch",1,0)</f>
        <v>0</v>
      </c>
      <c r="I126">
        <f>IF('tips dataset'!$D126="Dinner",1,0)</f>
        <v>1</v>
      </c>
      <c r="J126">
        <f>'tips dataset'!$E126</f>
        <v>2</v>
      </c>
      <c r="K126">
        <v>12.48</v>
      </c>
      <c r="L126">
        <v>2.52</v>
      </c>
      <c r="M126" s="12">
        <f t="shared" si="4"/>
        <v>0.20192307692307693</v>
      </c>
      <c r="N126" s="11">
        <f t="shared" si="5"/>
        <v>6.24</v>
      </c>
      <c r="O126" s="11">
        <f t="shared" si="6"/>
        <v>1.26</v>
      </c>
      <c r="P126">
        <f>IF('tips dataset'!$C126="thur",1,0)</f>
        <v>0</v>
      </c>
      <c r="Q126" t="str">
        <f t="shared" si="7"/>
        <v>Low</v>
      </c>
    </row>
    <row r="127" spans="1:17" x14ac:dyDescent="0.3">
      <c r="A127">
        <f>IF('tips dataset'!$A127="Male",1,0)</f>
        <v>1</v>
      </c>
      <c r="B127">
        <f>IF('tips dataset'!$A127="Female",1,0)</f>
        <v>0</v>
      </c>
      <c r="C127">
        <f>IF('tips dataset'!$B127="Yes",1,0)</f>
        <v>1</v>
      </c>
      <c r="D127">
        <f>IF('tips dataset'!$B127="No",1,0)</f>
        <v>0</v>
      </c>
      <c r="E127">
        <f>IF('tips dataset'!$C127="Sat",1,0)</f>
        <v>1</v>
      </c>
      <c r="F127">
        <f>IF('tips dataset'!$C127="fri",1,0)</f>
        <v>0</v>
      </c>
      <c r="G127">
        <f>IF('tips dataset'!$C127="Sun",1,0)</f>
        <v>0</v>
      </c>
      <c r="H127">
        <f>IF('tips dataset'!$D127="Lunch",1,0)</f>
        <v>0</v>
      </c>
      <c r="I127">
        <f>IF('tips dataset'!$D127="Dinner",1,0)</f>
        <v>1</v>
      </c>
      <c r="J127">
        <f>'tips dataset'!$E127</f>
        <v>2</v>
      </c>
      <c r="K127">
        <v>29.8</v>
      </c>
      <c r="L127">
        <v>4.2</v>
      </c>
      <c r="M127" s="12">
        <f t="shared" si="4"/>
        <v>0.14093959731543623</v>
      </c>
      <c r="N127" s="11">
        <f t="shared" si="5"/>
        <v>14.9</v>
      </c>
      <c r="O127" s="11">
        <f t="shared" si="6"/>
        <v>2.1</v>
      </c>
      <c r="P127">
        <f>IF('tips dataset'!$C127="thur",1,0)</f>
        <v>0</v>
      </c>
      <c r="Q127" t="str">
        <f t="shared" si="7"/>
        <v>High</v>
      </c>
    </row>
    <row r="128" spans="1:17" x14ac:dyDescent="0.3">
      <c r="A128">
        <f>IF('tips dataset'!$A128="Male",1,0)</f>
        <v>1</v>
      </c>
      <c r="B128">
        <f>IF('tips dataset'!$A128="Female",1,0)</f>
        <v>0</v>
      </c>
      <c r="C128">
        <f>IF('tips dataset'!$B128="Yes",1,0)</f>
        <v>0</v>
      </c>
      <c r="D128">
        <f>IF('tips dataset'!$B128="No",1,0)</f>
        <v>1</v>
      </c>
      <c r="E128">
        <f>IF('tips dataset'!$C128="Sat",1,0)</f>
        <v>0</v>
      </c>
      <c r="F128">
        <f>IF('tips dataset'!$C128="fri",1,0)</f>
        <v>0</v>
      </c>
      <c r="G128">
        <f>IF('tips dataset'!$C128="Sun",1,0)</f>
        <v>1</v>
      </c>
      <c r="H128">
        <f>IF('tips dataset'!$D128="Lunch",1,0)</f>
        <v>0</v>
      </c>
      <c r="I128">
        <f>IF('tips dataset'!$D128="Dinner",1,0)</f>
        <v>1</v>
      </c>
      <c r="J128">
        <f>'tips dataset'!$E128</f>
        <v>2</v>
      </c>
      <c r="K128">
        <v>8.52</v>
      </c>
      <c r="L128">
        <v>1.48</v>
      </c>
      <c r="M128" s="12">
        <f t="shared" si="4"/>
        <v>0.17370892018779344</v>
      </c>
      <c r="N128" s="11">
        <f t="shared" si="5"/>
        <v>4.26</v>
      </c>
      <c r="O128" s="11">
        <f t="shared" si="6"/>
        <v>0.74</v>
      </c>
      <c r="P128">
        <f>IF('tips dataset'!$C128="thur",1,0)</f>
        <v>0</v>
      </c>
      <c r="Q128" t="str">
        <f t="shared" si="7"/>
        <v>Low</v>
      </c>
    </row>
    <row r="129" spans="1:17" x14ac:dyDescent="0.3">
      <c r="A129">
        <f>IF('tips dataset'!$A129="Male",1,0)</f>
        <v>0</v>
      </c>
      <c r="B129">
        <f>IF('tips dataset'!$A129="Female",1,0)</f>
        <v>1</v>
      </c>
      <c r="C129">
        <f>IF('tips dataset'!$B129="Yes",1,0)</f>
        <v>1</v>
      </c>
      <c r="D129">
        <f>IF('tips dataset'!$B129="No",1,0)</f>
        <v>0</v>
      </c>
      <c r="E129">
        <f>IF('tips dataset'!$C129="Sat",1,0)</f>
        <v>0</v>
      </c>
      <c r="F129">
        <f>IF('tips dataset'!$C129="fri",1,0)</f>
        <v>0</v>
      </c>
      <c r="G129">
        <f>IF('tips dataset'!$C129="Sun",1,0)</f>
        <v>1</v>
      </c>
      <c r="H129">
        <f>IF('tips dataset'!$D129="Lunch",1,0)</f>
        <v>0</v>
      </c>
      <c r="I129">
        <f>IF('tips dataset'!$D129="Dinner",1,0)</f>
        <v>1</v>
      </c>
      <c r="J129">
        <f>'tips dataset'!$E129</f>
        <v>3</v>
      </c>
      <c r="K129">
        <v>14.52</v>
      </c>
      <c r="L129">
        <v>2</v>
      </c>
      <c r="M129" s="12">
        <f t="shared" si="4"/>
        <v>0.13774104683195593</v>
      </c>
      <c r="N129" s="11">
        <f t="shared" si="5"/>
        <v>4.84</v>
      </c>
      <c r="O129" s="11">
        <f t="shared" si="6"/>
        <v>0.66666666666666663</v>
      </c>
      <c r="P129">
        <f>IF('tips dataset'!$C129="thur",1,0)</f>
        <v>0</v>
      </c>
      <c r="Q129" t="str">
        <f t="shared" si="7"/>
        <v>Low</v>
      </c>
    </row>
    <row r="130" spans="1:17" x14ac:dyDescent="0.3">
      <c r="A130">
        <f>IF('tips dataset'!$A130="Male",1,0)</f>
        <v>1</v>
      </c>
      <c r="B130">
        <f>IF('tips dataset'!$A130="Female",1,0)</f>
        <v>0</v>
      </c>
      <c r="C130">
        <f>IF('tips dataset'!$B130="Yes",1,0)</f>
        <v>0</v>
      </c>
      <c r="D130">
        <f>IF('tips dataset'!$B130="No",1,0)</f>
        <v>1</v>
      </c>
      <c r="E130">
        <f>IF('tips dataset'!$C130="Sat",1,0)</f>
        <v>1</v>
      </c>
      <c r="F130">
        <f>IF('tips dataset'!$C130="fri",1,0)</f>
        <v>0</v>
      </c>
      <c r="G130">
        <f>IF('tips dataset'!$C130="Sun",1,0)</f>
        <v>0</v>
      </c>
      <c r="H130">
        <f>IF('tips dataset'!$D130="Lunch",1,0)</f>
        <v>0</v>
      </c>
      <c r="I130">
        <f>IF('tips dataset'!$D130="Dinner",1,0)</f>
        <v>1</v>
      </c>
      <c r="J130">
        <f>'tips dataset'!$E130</f>
        <v>2</v>
      </c>
      <c r="K130">
        <v>11.38</v>
      </c>
      <c r="L130">
        <v>2</v>
      </c>
      <c r="M130" s="12">
        <f t="shared" si="4"/>
        <v>0.17574692442882248</v>
      </c>
      <c r="N130" s="11">
        <f t="shared" si="5"/>
        <v>5.69</v>
      </c>
      <c r="O130" s="11">
        <f t="shared" si="6"/>
        <v>1</v>
      </c>
      <c r="P130">
        <f>IF('tips dataset'!$C130="thur",1,0)</f>
        <v>0</v>
      </c>
      <c r="Q130" t="str">
        <f t="shared" si="7"/>
        <v>Low</v>
      </c>
    </row>
    <row r="131" spans="1:17" x14ac:dyDescent="0.3">
      <c r="A131">
        <f>IF('tips dataset'!$A131="Male",1,0)</f>
        <v>0</v>
      </c>
      <c r="B131">
        <f>IF('tips dataset'!$A131="Female",1,0)</f>
        <v>1</v>
      </c>
      <c r="C131">
        <f>IF('tips dataset'!$B131="Yes",1,0)</f>
        <v>0</v>
      </c>
      <c r="D131">
        <f>IF('tips dataset'!$B131="No",1,0)</f>
        <v>1</v>
      </c>
      <c r="E131">
        <f>IF('tips dataset'!$C131="Sat",1,0)</f>
        <v>0</v>
      </c>
      <c r="F131">
        <f>IF('tips dataset'!$C131="fri",1,0)</f>
        <v>0</v>
      </c>
      <c r="G131">
        <f>IF('tips dataset'!$C131="Sun",1,0)</f>
        <v>0</v>
      </c>
      <c r="H131">
        <f>IF('tips dataset'!$D131="Lunch",1,0)</f>
        <v>1</v>
      </c>
      <c r="I131">
        <f>IF('tips dataset'!$D131="Dinner",1,0)</f>
        <v>0</v>
      </c>
      <c r="J131">
        <f>'tips dataset'!$E131</f>
        <v>2</v>
      </c>
      <c r="K131">
        <v>22.82</v>
      </c>
      <c r="L131">
        <v>2.1800000000000002</v>
      </c>
      <c r="M131" s="12">
        <f t="shared" ref="M131:M194" si="8">L131/K131</f>
        <v>9.5530236634531113E-2</v>
      </c>
      <c r="N131" s="11">
        <f t="shared" ref="N131:N194" si="9">K131/J131</f>
        <v>11.41</v>
      </c>
      <c r="O131" s="11">
        <f t="shared" ref="O131:O194" si="10">L131/J131</f>
        <v>1.0900000000000001</v>
      </c>
      <c r="P131">
        <f>IF('tips dataset'!$C131="thur",1,0)</f>
        <v>1</v>
      </c>
      <c r="Q131" t="str">
        <f t="shared" ref="Q131:Q194" si="11">IF(K131&lt;15,"Low",IF(K131&lt;25,"Medium",IF(K131&lt;35,"High","Premium")))</f>
        <v>Medium</v>
      </c>
    </row>
    <row r="132" spans="1:17" x14ac:dyDescent="0.3">
      <c r="A132">
        <f>IF('tips dataset'!$A132="Male",1,0)</f>
        <v>1</v>
      </c>
      <c r="B132">
        <f>IF('tips dataset'!$A132="Female",1,0)</f>
        <v>0</v>
      </c>
      <c r="C132">
        <f>IF('tips dataset'!$B132="Yes",1,0)</f>
        <v>0</v>
      </c>
      <c r="D132">
        <f>IF('tips dataset'!$B132="No",1,0)</f>
        <v>1</v>
      </c>
      <c r="E132">
        <f>IF('tips dataset'!$C132="Sat",1,0)</f>
        <v>0</v>
      </c>
      <c r="F132">
        <f>IF('tips dataset'!$C132="fri",1,0)</f>
        <v>0</v>
      </c>
      <c r="G132">
        <f>IF('tips dataset'!$C132="Sun",1,0)</f>
        <v>0</v>
      </c>
      <c r="H132">
        <f>IF('tips dataset'!$D132="Lunch",1,0)</f>
        <v>1</v>
      </c>
      <c r="I132">
        <f>IF('tips dataset'!$D132="Dinner",1,0)</f>
        <v>0</v>
      </c>
      <c r="J132">
        <f>'tips dataset'!$E132</f>
        <v>2</v>
      </c>
      <c r="K132">
        <v>19.079999999999998</v>
      </c>
      <c r="L132">
        <v>1.5</v>
      </c>
      <c r="M132" s="12">
        <f t="shared" si="8"/>
        <v>7.8616352201257872E-2</v>
      </c>
      <c r="N132" s="11">
        <f t="shared" si="9"/>
        <v>9.5399999999999991</v>
      </c>
      <c r="O132" s="11">
        <f t="shared" si="10"/>
        <v>0.75</v>
      </c>
      <c r="P132">
        <f>IF('tips dataset'!$C132="thur",1,0)</f>
        <v>1</v>
      </c>
      <c r="Q132" t="str">
        <f t="shared" si="11"/>
        <v>Medium</v>
      </c>
    </row>
    <row r="133" spans="1:17" x14ac:dyDescent="0.3">
      <c r="A133">
        <f>IF('tips dataset'!$A133="Male",1,0)</f>
        <v>1</v>
      </c>
      <c r="B133">
        <f>IF('tips dataset'!$A133="Female",1,0)</f>
        <v>0</v>
      </c>
      <c r="C133">
        <f>IF('tips dataset'!$B133="Yes",1,0)</f>
        <v>0</v>
      </c>
      <c r="D133">
        <f>IF('tips dataset'!$B133="No",1,0)</f>
        <v>1</v>
      </c>
      <c r="E133">
        <f>IF('tips dataset'!$C133="Sat",1,0)</f>
        <v>0</v>
      </c>
      <c r="F133">
        <f>IF('tips dataset'!$C133="fri",1,0)</f>
        <v>0</v>
      </c>
      <c r="G133">
        <f>IF('tips dataset'!$C133="Sun",1,0)</f>
        <v>1</v>
      </c>
      <c r="H133">
        <f>IF('tips dataset'!$D133="Lunch",1,0)</f>
        <v>0</v>
      </c>
      <c r="I133">
        <f>IF('tips dataset'!$D133="Dinner",1,0)</f>
        <v>1</v>
      </c>
      <c r="J133">
        <f>'tips dataset'!$E133</f>
        <v>2</v>
      </c>
      <c r="K133">
        <v>20.27</v>
      </c>
      <c r="L133">
        <v>2.83</v>
      </c>
      <c r="M133" s="12">
        <f t="shared" si="8"/>
        <v>0.13961519486926494</v>
      </c>
      <c r="N133" s="11">
        <f t="shared" si="9"/>
        <v>10.135</v>
      </c>
      <c r="O133" s="11">
        <f t="shared" si="10"/>
        <v>1.415</v>
      </c>
      <c r="P133">
        <f>IF('tips dataset'!$C133="thur",1,0)</f>
        <v>0</v>
      </c>
      <c r="Q133" t="str">
        <f t="shared" si="11"/>
        <v>Medium</v>
      </c>
    </row>
    <row r="134" spans="1:17" x14ac:dyDescent="0.3">
      <c r="A134">
        <f>IF('tips dataset'!$A134="Male",1,0)</f>
        <v>1</v>
      </c>
      <c r="B134">
        <f>IF('tips dataset'!$A134="Female",1,0)</f>
        <v>0</v>
      </c>
      <c r="C134">
        <f>IF('tips dataset'!$B134="Yes",1,0)</f>
        <v>1</v>
      </c>
      <c r="D134">
        <f>IF('tips dataset'!$B134="No",1,0)</f>
        <v>0</v>
      </c>
      <c r="E134">
        <f>IF('tips dataset'!$C134="Sat",1,0)</f>
        <v>1</v>
      </c>
      <c r="F134">
        <f>IF('tips dataset'!$C134="fri",1,0)</f>
        <v>0</v>
      </c>
      <c r="G134">
        <f>IF('tips dataset'!$C134="Sun",1,0)</f>
        <v>0</v>
      </c>
      <c r="H134">
        <f>IF('tips dataset'!$D134="Lunch",1,0)</f>
        <v>0</v>
      </c>
      <c r="I134">
        <f>IF('tips dataset'!$D134="Dinner",1,0)</f>
        <v>1</v>
      </c>
      <c r="J134">
        <f>'tips dataset'!$E134</f>
        <v>4</v>
      </c>
      <c r="K134">
        <v>11.17</v>
      </c>
      <c r="L134">
        <v>1.5</v>
      </c>
      <c r="M134" s="12">
        <f t="shared" si="8"/>
        <v>0.13428827215756492</v>
      </c>
      <c r="N134" s="11">
        <f t="shared" si="9"/>
        <v>2.7925</v>
      </c>
      <c r="O134" s="11">
        <f t="shared" si="10"/>
        <v>0.375</v>
      </c>
      <c r="P134">
        <f>IF('tips dataset'!$C134="thur",1,0)</f>
        <v>0</v>
      </c>
      <c r="Q134" t="str">
        <f t="shared" si="11"/>
        <v>Low</v>
      </c>
    </row>
    <row r="135" spans="1:17" x14ac:dyDescent="0.3">
      <c r="A135">
        <f>IF('tips dataset'!$A135="Male",1,0)</f>
        <v>1</v>
      </c>
      <c r="B135">
        <f>IF('tips dataset'!$A135="Female",1,0)</f>
        <v>0</v>
      </c>
      <c r="C135">
        <f>IF('tips dataset'!$B135="Yes",1,0)</f>
        <v>0</v>
      </c>
      <c r="D135">
        <f>IF('tips dataset'!$B135="No",1,0)</f>
        <v>1</v>
      </c>
      <c r="E135">
        <f>IF('tips dataset'!$C135="Sat",1,0)</f>
        <v>1</v>
      </c>
      <c r="F135">
        <f>IF('tips dataset'!$C135="fri",1,0)</f>
        <v>0</v>
      </c>
      <c r="G135">
        <f>IF('tips dataset'!$C135="Sun",1,0)</f>
        <v>0</v>
      </c>
      <c r="H135">
        <f>IF('tips dataset'!$D135="Lunch",1,0)</f>
        <v>0</v>
      </c>
      <c r="I135">
        <f>IF('tips dataset'!$D135="Dinner",1,0)</f>
        <v>1</v>
      </c>
      <c r="J135">
        <f>'tips dataset'!$E135</f>
        <v>4</v>
      </c>
      <c r="K135">
        <v>12.26</v>
      </c>
      <c r="L135">
        <v>2</v>
      </c>
      <c r="M135" s="12">
        <f t="shared" si="8"/>
        <v>0.16313213703099511</v>
      </c>
      <c r="N135" s="11">
        <f t="shared" si="9"/>
        <v>3.0649999999999999</v>
      </c>
      <c r="O135" s="11">
        <f t="shared" si="10"/>
        <v>0.5</v>
      </c>
      <c r="P135">
        <f>IF('tips dataset'!$C135="thur",1,0)</f>
        <v>0</v>
      </c>
      <c r="Q135" t="str">
        <f t="shared" si="11"/>
        <v>Low</v>
      </c>
    </row>
    <row r="136" spans="1:17" x14ac:dyDescent="0.3">
      <c r="A136">
        <f>IF('tips dataset'!$A136="Male",1,0)</f>
        <v>1</v>
      </c>
      <c r="B136">
        <f>IF('tips dataset'!$A136="Female",1,0)</f>
        <v>0</v>
      </c>
      <c r="C136">
        <f>IF('tips dataset'!$B136="Yes",1,0)</f>
        <v>0</v>
      </c>
      <c r="D136">
        <f>IF('tips dataset'!$B136="No",1,0)</f>
        <v>1</v>
      </c>
      <c r="E136">
        <f>IF('tips dataset'!$C136="Sat",1,0)</f>
        <v>0</v>
      </c>
      <c r="F136">
        <f>IF('tips dataset'!$C136="fri",1,0)</f>
        <v>0</v>
      </c>
      <c r="G136">
        <f>IF('tips dataset'!$C136="Sun",1,0)</f>
        <v>1</v>
      </c>
      <c r="H136">
        <f>IF('tips dataset'!$D136="Lunch",1,0)</f>
        <v>0</v>
      </c>
      <c r="I136">
        <f>IF('tips dataset'!$D136="Dinner",1,0)</f>
        <v>1</v>
      </c>
      <c r="J136">
        <f>'tips dataset'!$E136</f>
        <v>4</v>
      </c>
      <c r="K136">
        <v>18.260000000000002</v>
      </c>
      <c r="L136">
        <v>3.25</v>
      </c>
      <c r="M136" s="12">
        <f t="shared" si="8"/>
        <v>0.17798466593647316</v>
      </c>
      <c r="N136" s="11">
        <f t="shared" si="9"/>
        <v>4.5650000000000004</v>
      </c>
      <c r="O136" s="11">
        <f t="shared" si="10"/>
        <v>0.8125</v>
      </c>
      <c r="P136">
        <f>IF('tips dataset'!$C136="thur",1,0)</f>
        <v>0</v>
      </c>
      <c r="Q136" t="str">
        <f t="shared" si="11"/>
        <v>Medium</v>
      </c>
    </row>
    <row r="137" spans="1:17" x14ac:dyDescent="0.3">
      <c r="A137">
        <f>IF('tips dataset'!$A137="Male",1,0)</f>
        <v>0</v>
      </c>
      <c r="B137">
        <f>IF('tips dataset'!$A137="Female",1,0)</f>
        <v>1</v>
      </c>
      <c r="C137">
        <f>IF('tips dataset'!$B137="Yes",1,0)</f>
        <v>0</v>
      </c>
      <c r="D137">
        <f>IF('tips dataset'!$B137="No",1,0)</f>
        <v>1</v>
      </c>
      <c r="E137">
        <f>IF('tips dataset'!$C137="Sat",1,0)</f>
        <v>0</v>
      </c>
      <c r="F137">
        <f>IF('tips dataset'!$C137="fri",1,0)</f>
        <v>0</v>
      </c>
      <c r="G137">
        <f>IF('tips dataset'!$C137="Sun",1,0)</f>
        <v>0</v>
      </c>
      <c r="H137">
        <f>IF('tips dataset'!$D137="Lunch",1,0)</f>
        <v>1</v>
      </c>
      <c r="I137">
        <f>IF('tips dataset'!$D137="Dinner",1,0)</f>
        <v>0</v>
      </c>
      <c r="J137">
        <f>'tips dataset'!$E137</f>
        <v>3</v>
      </c>
      <c r="K137">
        <v>8.51</v>
      </c>
      <c r="L137">
        <v>1.25</v>
      </c>
      <c r="M137" s="12">
        <f t="shared" si="8"/>
        <v>0.14688601645123384</v>
      </c>
      <c r="N137" s="11">
        <f t="shared" si="9"/>
        <v>2.8366666666666664</v>
      </c>
      <c r="O137" s="11">
        <f t="shared" si="10"/>
        <v>0.41666666666666669</v>
      </c>
      <c r="P137">
        <f>IF('tips dataset'!$C137="thur",1,0)</f>
        <v>1</v>
      </c>
      <c r="Q137" t="str">
        <f t="shared" si="11"/>
        <v>Low</v>
      </c>
    </row>
    <row r="138" spans="1:17" x14ac:dyDescent="0.3">
      <c r="A138">
        <f>IF('tips dataset'!$A138="Male",1,0)</f>
        <v>1</v>
      </c>
      <c r="B138">
        <f>IF('tips dataset'!$A138="Female",1,0)</f>
        <v>0</v>
      </c>
      <c r="C138">
        <f>IF('tips dataset'!$B138="Yes",1,0)</f>
        <v>0</v>
      </c>
      <c r="D138">
        <f>IF('tips dataset'!$B138="No",1,0)</f>
        <v>1</v>
      </c>
      <c r="E138">
        <f>IF('tips dataset'!$C138="Sat",1,0)</f>
        <v>1</v>
      </c>
      <c r="F138">
        <f>IF('tips dataset'!$C138="fri",1,0)</f>
        <v>0</v>
      </c>
      <c r="G138">
        <f>IF('tips dataset'!$C138="Sun",1,0)</f>
        <v>0</v>
      </c>
      <c r="H138">
        <f>IF('tips dataset'!$D138="Lunch",1,0)</f>
        <v>0</v>
      </c>
      <c r="I138">
        <f>IF('tips dataset'!$D138="Dinner",1,0)</f>
        <v>1</v>
      </c>
      <c r="J138">
        <f>'tips dataset'!$E138</f>
        <v>3</v>
      </c>
      <c r="K138">
        <v>10.33</v>
      </c>
      <c r="L138">
        <v>2</v>
      </c>
      <c r="M138" s="12">
        <f t="shared" si="8"/>
        <v>0.1936108422071636</v>
      </c>
      <c r="N138" s="11">
        <f t="shared" si="9"/>
        <v>3.4433333333333334</v>
      </c>
      <c r="O138" s="11">
        <f t="shared" si="10"/>
        <v>0.66666666666666663</v>
      </c>
      <c r="P138">
        <f>IF('tips dataset'!$C138="thur",1,0)</f>
        <v>0</v>
      </c>
      <c r="Q138" t="str">
        <f t="shared" si="11"/>
        <v>Low</v>
      </c>
    </row>
    <row r="139" spans="1:17" x14ac:dyDescent="0.3">
      <c r="A139">
        <f>IF('tips dataset'!$A139="Male",1,0)</f>
        <v>1</v>
      </c>
      <c r="B139">
        <f>IF('tips dataset'!$A139="Female",1,0)</f>
        <v>0</v>
      </c>
      <c r="C139">
        <f>IF('tips dataset'!$B139="Yes",1,0)</f>
        <v>1</v>
      </c>
      <c r="D139">
        <f>IF('tips dataset'!$B139="No",1,0)</f>
        <v>0</v>
      </c>
      <c r="E139">
        <f>IF('tips dataset'!$C139="Sat",1,0)</f>
        <v>0</v>
      </c>
      <c r="F139">
        <f>IF('tips dataset'!$C139="fri",1,0)</f>
        <v>0</v>
      </c>
      <c r="G139">
        <f>IF('tips dataset'!$C139="Sun",1,0)</f>
        <v>0</v>
      </c>
      <c r="H139">
        <f>IF('tips dataset'!$D139="Lunch",1,0)</f>
        <v>1</v>
      </c>
      <c r="I139">
        <f>IF('tips dataset'!$D139="Dinner",1,0)</f>
        <v>0</v>
      </c>
      <c r="J139">
        <f>'tips dataset'!$E139</f>
        <v>3</v>
      </c>
      <c r="K139">
        <v>14.15</v>
      </c>
      <c r="L139">
        <v>2</v>
      </c>
      <c r="M139" s="12">
        <f t="shared" si="8"/>
        <v>0.14134275618374559</v>
      </c>
      <c r="N139" s="11">
        <f t="shared" si="9"/>
        <v>4.7166666666666668</v>
      </c>
      <c r="O139" s="11">
        <f t="shared" si="10"/>
        <v>0.66666666666666663</v>
      </c>
      <c r="P139">
        <f>IF('tips dataset'!$C139="thur",1,0)</f>
        <v>1</v>
      </c>
      <c r="Q139" t="str">
        <f t="shared" si="11"/>
        <v>Low</v>
      </c>
    </row>
    <row r="140" spans="1:17" x14ac:dyDescent="0.3">
      <c r="A140">
        <f>IF('tips dataset'!$A140="Male",1,0)</f>
        <v>0</v>
      </c>
      <c r="B140">
        <f>IF('tips dataset'!$A140="Female",1,0)</f>
        <v>1</v>
      </c>
      <c r="C140">
        <f>IF('tips dataset'!$B140="Yes",1,0)</f>
        <v>0</v>
      </c>
      <c r="D140">
        <f>IF('tips dataset'!$B140="No",1,0)</f>
        <v>1</v>
      </c>
      <c r="E140">
        <f>IF('tips dataset'!$C140="Sat",1,0)</f>
        <v>0</v>
      </c>
      <c r="F140">
        <f>IF('tips dataset'!$C140="fri",1,0)</f>
        <v>0</v>
      </c>
      <c r="G140">
        <f>IF('tips dataset'!$C140="Sun",1,0)</f>
        <v>0</v>
      </c>
      <c r="H140">
        <f>IF('tips dataset'!$D140="Lunch",1,0)</f>
        <v>0</v>
      </c>
      <c r="I140">
        <f>IF('tips dataset'!$D140="Dinner",1,0)</f>
        <v>1</v>
      </c>
      <c r="J140">
        <f>'tips dataset'!$E140</f>
        <v>2</v>
      </c>
      <c r="K140">
        <v>16</v>
      </c>
      <c r="L140">
        <v>2</v>
      </c>
      <c r="M140" s="12">
        <f t="shared" si="8"/>
        <v>0.125</v>
      </c>
      <c r="N140" s="11">
        <f t="shared" si="9"/>
        <v>8</v>
      </c>
      <c r="O140" s="11">
        <f t="shared" si="10"/>
        <v>1</v>
      </c>
      <c r="P140">
        <f>IF('tips dataset'!$C140="thur",1,0)</f>
        <v>1</v>
      </c>
      <c r="Q140" t="str">
        <f t="shared" si="11"/>
        <v>Medium</v>
      </c>
    </row>
    <row r="141" spans="1:17" x14ac:dyDescent="0.3">
      <c r="A141">
        <f>IF('tips dataset'!$A141="Male",1,0)</f>
        <v>1</v>
      </c>
      <c r="B141">
        <f>IF('tips dataset'!$A141="Female",1,0)</f>
        <v>0</v>
      </c>
      <c r="C141">
        <f>IF('tips dataset'!$B141="Yes",1,0)</f>
        <v>0</v>
      </c>
      <c r="D141">
        <f>IF('tips dataset'!$B141="No",1,0)</f>
        <v>1</v>
      </c>
      <c r="E141">
        <f>IF('tips dataset'!$C141="Sat",1,0)</f>
        <v>0</v>
      </c>
      <c r="F141">
        <f>IF('tips dataset'!$C141="fri",1,0)</f>
        <v>0</v>
      </c>
      <c r="G141">
        <f>IF('tips dataset'!$C141="Sun",1,0)</f>
        <v>0</v>
      </c>
      <c r="H141">
        <f>IF('tips dataset'!$D141="Lunch",1,0)</f>
        <v>1</v>
      </c>
      <c r="I141">
        <f>IF('tips dataset'!$D141="Dinner",1,0)</f>
        <v>0</v>
      </c>
      <c r="J141">
        <f>'tips dataset'!$E141</f>
        <v>2</v>
      </c>
      <c r="K141">
        <v>13.16</v>
      </c>
      <c r="L141">
        <v>2.75</v>
      </c>
      <c r="M141" s="12">
        <f t="shared" si="8"/>
        <v>0.20896656534954408</v>
      </c>
      <c r="N141" s="11">
        <f t="shared" si="9"/>
        <v>6.58</v>
      </c>
      <c r="O141" s="11">
        <f t="shared" si="10"/>
        <v>1.375</v>
      </c>
      <c r="P141">
        <f>IF('tips dataset'!$C141="thur",1,0)</f>
        <v>1</v>
      </c>
      <c r="Q141" t="str">
        <f t="shared" si="11"/>
        <v>Low</v>
      </c>
    </row>
    <row r="142" spans="1:17" x14ac:dyDescent="0.3">
      <c r="A142">
        <f>IF('tips dataset'!$A142="Male",1,0)</f>
        <v>1</v>
      </c>
      <c r="B142">
        <f>IF('tips dataset'!$A142="Female",1,0)</f>
        <v>0</v>
      </c>
      <c r="C142">
        <f>IF('tips dataset'!$B142="Yes",1,0)</f>
        <v>1</v>
      </c>
      <c r="D142">
        <f>IF('tips dataset'!$B142="No",1,0)</f>
        <v>0</v>
      </c>
      <c r="E142">
        <f>IF('tips dataset'!$C142="Sat",1,0)</f>
        <v>0</v>
      </c>
      <c r="F142">
        <f>IF('tips dataset'!$C142="fri",1,0)</f>
        <v>0</v>
      </c>
      <c r="G142">
        <f>IF('tips dataset'!$C142="Sun",1,0)</f>
        <v>0</v>
      </c>
      <c r="H142">
        <f>IF('tips dataset'!$D142="Lunch",1,0)</f>
        <v>1</v>
      </c>
      <c r="I142">
        <f>IF('tips dataset'!$D142="Dinner",1,0)</f>
        <v>0</v>
      </c>
      <c r="J142">
        <f>'tips dataset'!$E142</f>
        <v>2</v>
      </c>
      <c r="K142">
        <v>17.47</v>
      </c>
      <c r="L142">
        <v>3.5</v>
      </c>
      <c r="M142" s="12">
        <f t="shared" si="8"/>
        <v>0.20034344590726963</v>
      </c>
      <c r="N142" s="11">
        <f t="shared" si="9"/>
        <v>8.7349999999999994</v>
      </c>
      <c r="O142" s="11">
        <f t="shared" si="10"/>
        <v>1.75</v>
      </c>
      <c r="P142">
        <f>IF('tips dataset'!$C142="thur",1,0)</f>
        <v>1</v>
      </c>
      <c r="Q142" t="str">
        <f t="shared" si="11"/>
        <v>Medium</v>
      </c>
    </row>
    <row r="143" spans="1:17" x14ac:dyDescent="0.3">
      <c r="A143">
        <f>IF('tips dataset'!$A143="Male",1,0)</f>
        <v>1</v>
      </c>
      <c r="B143">
        <f>IF('tips dataset'!$A143="Female",1,0)</f>
        <v>0</v>
      </c>
      <c r="C143">
        <f>IF('tips dataset'!$B143="Yes",1,0)</f>
        <v>0</v>
      </c>
      <c r="D143">
        <f>IF('tips dataset'!$B143="No",1,0)</f>
        <v>1</v>
      </c>
      <c r="E143">
        <f>IF('tips dataset'!$C143="Sat",1,0)</f>
        <v>0</v>
      </c>
      <c r="F143">
        <f>IF('tips dataset'!$C143="fri",1,0)</f>
        <v>0</v>
      </c>
      <c r="G143">
        <f>IF('tips dataset'!$C143="Sun",1,0)</f>
        <v>1</v>
      </c>
      <c r="H143">
        <f>IF('tips dataset'!$D143="Lunch",1,0)</f>
        <v>0</v>
      </c>
      <c r="I143">
        <f>IF('tips dataset'!$D143="Dinner",1,0)</f>
        <v>1</v>
      </c>
      <c r="J143">
        <f>'tips dataset'!$E143</f>
        <v>2</v>
      </c>
      <c r="K143">
        <v>34.299999999999997</v>
      </c>
      <c r="L143">
        <v>6.7</v>
      </c>
      <c r="M143" s="12">
        <f t="shared" si="8"/>
        <v>0.19533527696793004</v>
      </c>
      <c r="N143" s="11">
        <f t="shared" si="9"/>
        <v>17.149999999999999</v>
      </c>
      <c r="O143" s="11">
        <f t="shared" si="10"/>
        <v>3.35</v>
      </c>
      <c r="P143">
        <f>IF('tips dataset'!$C143="thur",1,0)</f>
        <v>0</v>
      </c>
      <c r="Q143" t="str">
        <f t="shared" si="11"/>
        <v>High</v>
      </c>
    </row>
    <row r="144" spans="1:17" x14ac:dyDescent="0.3">
      <c r="A144">
        <f>IF('tips dataset'!$A144="Male",1,0)</f>
        <v>0</v>
      </c>
      <c r="B144">
        <f>IF('tips dataset'!$A144="Female",1,0)</f>
        <v>1</v>
      </c>
      <c r="C144">
        <f>IF('tips dataset'!$B144="Yes",1,0)</f>
        <v>0</v>
      </c>
      <c r="D144">
        <f>IF('tips dataset'!$B144="No",1,0)</f>
        <v>1</v>
      </c>
      <c r="E144">
        <f>IF('tips dataset'!$C144="Sat",1,0)</f>
        <v>1</v>
      </c>
      <c r="F144">
        <f>IF('tips dataset'!$C144="fri",1,0)</f>
        <v>0</v>
      </c>
      <c r="G144">
        <f>IF('tips dataset'!$C144="Sun",1,0)</f>
        <v>0</v>
      </c>
      <c r="H144">
        <f>IF('tips dataset'!$D144="Lunch",1,0)</f>
        <v>0</v>
      </c>
      <c r="I144">
        <f>IF('tips dataset'!$D144="Dinner",1,0)</f>
        <v>1</v>
      </c>
      <c r="J144">
        <f>'tips dataset'!$E144</f>
        <v>2</v>
      </c>
      <c r="K144">
        <v>41.19</v>
      </c>
      <c r="L144">
        <v>5</v>
      </c>
      <c r="M144" s="12">
        <f t="shared" si="8"/>
        <v>0.12138868657441128</v>
      </c>
      <c r="N144" s="11">
        <f t="shared" si="9"/>
        <v>20.594999999999999</v>
      </c>
      <c r="O144" s="11">
        <f t="shared" si="10"/>
        <v>2.5</v>
      </c>
      <c r="P144">
        <f>IF('tips dataset'!$C144="thur",1,0)</f>
        <v>0</v>
      </c>
      <c r="Q144" t="str">
        <f t="shared" si="11"/>
        <v>Premium</v>
      </c>
    </row>
    <row r="145" spans="1:17" x14ac:dyDescent="0.3">
      <c r="A145">
        <f>IF('tips dataset'!$A145="Male",1,0)</f>
        <v>1</v>
      </c>
      <c r="B145">
        <f>IF('tips dataset'!$A145="Female",1,0)</f>
        <v>0</v>
      </c>
      <c r="C145">
        <f>IF('tips dataset'!$B145="Yes",1,0)</f>
        <v>0</v>
      </c>
      <c r="D145">
        <f>IF('tips dataset'!$B145="No",1,0)</f>
        <v>1</v>
      </c>
      <c r="E145">
        <f>IF('tips dataset'!$C145="Sat",1,0)</f>
        <v>0</v>
      </c>
      <c r="F145">
        <f>IF('tips dataset'!$C145="fri",1,0)</f>
        <v>0</v>
      </c>
      <c r="G145">
        <f>IF('tips dataset'!$C145="Sun",1,0)</f>
        <v>1</v>
      </c>
      <c r="H145">
        <f>IF('tips dataset'!$D145="Lunch",1,0)</f>
        <v>0</v>
      </c>
      <c r="I145">
        <f>IF('tips dataset'!$D145="Dinner",1,0)</f>
        <v>1</v>
      </c>
      <c r="J145">
        <f>'tips dataset'!$E145</f>
        <v>4</v>
      </c>
      <c r="K145">
        <v>27.05</v>
      </c>
      <c r="L145">
        <v>5</v>
      </c>
      <c r="M145" s="12">
        <f t="shared" si="8"/>
        <v>0.18484288354898337</v>
      </c>
      <c r="N145" s="11">
        <f t="shared" si="9"/>
        <v>6.7625000000000002</v>
      </c>
      <c r="O145" s="11">
        <f t="shared" si="10"/>
        <v>1.25</v>
      </c>
      <c r="P145">
        <f>IF('tips dataset'!$C145="thur",1,0)</f>
        <v>0</v>
      </c>
      <c r="Q145" t="str">
        <f t="shared" si="11"/>
        <v>High</v>
      </c>
    </row>
    <row r="146" spans="1:17" x14ac:dyDescent="0.3">
      <c r="A146">
        <f>IF('tips dataset'!$A146="Male",1,0)</f>
        <v>0</v>
      </c>
      <c r="B146">
        <f>IF('tips dataset'!$A146="Female",1,0)</f>
        <v>1</v>
      </c>
      <c r="C146">
        <f>IF('tips dataset'!$B146="Yes",1,0)</f>
        <v>1</v>
      </c>
      <c r="D146">
        <f>IF('tips dataset'!$B146="No",1,0)</f>
        <v>0</v>
      </c>
      <c r="E146">
        <f>IF('tips dataset'!$C146="Sat",1,0)</f>
        <v>0</v>
      </c>
      <c r="F146">
        <f>IF('tips dataset'!$C146="fri",1,0)</f>
        <v>0</v>
      </c>
      <c r="G146">
        <f>IF('tips dataset'!$C146="Sun",1,0)</f>
        <v>0</v>
      </c>
      <c r="H146">
        <f>IF('tips dataset'!$D146="Lunch",1,0)</f>
        <v>1</v>
      </c>
      <c r="I146">
        <f>IF('tips dataset'!$D146="Dinner",1,0)</f>
        <v>0</v>
      </c>
      <c r="J146">
        <f>'tips dataset'!$E146</f>
        <v>2</v>
      </c>
      <c r="K146">
        <v>16.43</v>
      </c>
      <c r="L146">
        <v>2.2999999999999998</v>
      </c>
      <c r="M146" s="12">
        <f t="shared" si="8"/>
        <v>0.13998782714546559</v>
      </c>
      <c r="N146" s="11">
        <f t="shared" si="9"/>
        <v>8.2149999999999999</v>
      </c>
      <c r="O146" s="11">
        <f t="shared" si="10"/>
        <v>1.1499999999999999</v>
      </c>
      <c r="P146">
        <f>IF('tips dataset'!$C146="thur",1,0)</f>
        <v>1</v>
      </c>
      <c r="Q146" t="str">
        <f t="shared" si="11"/>
        <v>Medium</v>
      </c>
    </row>
    <row r="147" spans="1:17" x14ac:dyDescent="0.3">
      <c r="A147">
        <f>IF('tips dataset'!$A147="Male",1,0)</f>
        <v>1</v>
      </c>
      <c r="B147">
        <f>IF('tips dataset'!$A147="Female",1,0)</f>
        <v>0</v>
      </c>
      <c r="C147">
        <f>IF('tips dataset'!$B147="Yes",1,0)</f>
        <v>0</v>
      </c>
      <c r="D147">
        <f>IF('tips dataset'!$B147="No",1,0)</f>
        <v>1</v>
      </c>
      <c r="E147">
        <f>IF('tips dataset'!$C147="Sat",1,0)</f>
        <v>1</v>
      </c>
      <c r="F147">
        <f>IF('tips dataset'!$C147="fri",1,0)</f>
        <v>0</v>
      </c>
      <c r="G147">
        <f>IF('tips dataset'!$C147="Sun",1,0)</f>
        <v>0</v>
      </c>
      <c r="H147">
        <f>IF('tips dataset'!$D147="Lunch",1,0)</f>
        <v>0</v>
      </c>
      <c r="I147">
        <f>IF('tips dataset'!$D147="Dinner",1,0)</f>
        <v>1</v>
      </c>
      <c r="J147">
        <f>'tips dataset'!$E147</f>
        <v>2</v>
      </c>
      <c r="K147">
        <v>8.35</v>
      </c>
      <c r="L147">
        <v>1.5</v>
      </c>
      <c r="M147" s="12">
        <f t="shared" si="8"/>
        <v>0.17964071856287425</v>
      </c>
      <c r="N147" s="11">
        <f t="shared" si="9"/>
        <v>4.1749999999999998</v>
      </c>
      <c r="O147" s="11">
        <f t="shared" si="10"/>
        <v>0.75</v>
      </c>
      <c r="P147">
        <f>IF('tips dataset'!$C147="thur",1,0)</f>
        <v>0</v>
      </c>
      <c r="Q147" t="str">
        <f t="shared" si="11"/>
        <v>Low</v>
      </c>
    </row>
    <row r="148" spans="1:17" x14ac:dyDescent="0.3">
      <c r="A148">
        <f>IF('tips dataset'!$A148="Male",1,0)</f>
        <v>1</v>
      </c>
      <c r="B148">
        <f>IF('tips dataset'!$A148="Female",1,0)</f>
        <v>0</v>
      </c>
      <c r="C148">
        <f>IF('tips dataset'!$B148="Yes",1,0)</f>
        <v>0</v>
      </c>
      <c r="D148">
        <f>IF('tips dataset'!$B148="No",1,0)</f>
        <v>1</v>
      </c>
      <c r="E148">
        <f>IF('tips dataset'!$C148="Sat",1,0)</f>
        <v>1</v>
      </c>
      <c r="F148">
        <f>IF('tips dataset'!$C148="fri",1,0)</f>
        <v>0</v>
      </c>
      <c r="G148">
        <f>IF('tips dataset'!$C148="Sun",1,0)</f>
        <v>0</v>
      </c>
      <c r="H148">
        <f>IF('tips dataset'!$D148="Lunch",1,0)</f>
        <v>0</v>
      </c>
      <c r="I148">
        <f>IF('tips dataset'!$D148="Dinner",1,0)</f>
        <v>1</v>
      </c>
      <c r="J148">
        <f>'tips dataset'!$E148</f>
        <v>3</v>
      </c>
      <c r="K148">
        <v>18.64</v>
      </c>
      <c r="L148">
        <v>1.36</v>
      </c>
      <c r="M148" s="12">
        <f t="shared" si="8"/>
        <v>7.2961373390557943E-2</v>
      </c>
      <c r="N148" s="11">
        <f t="shared" si="9"/>
        <v>6.2133333333333338</v>
      </c>
      <c r="O148" s="11">
        <f t="shared" si="10"/>
        <v>0.45333333333333337</v>
      </c>
      <c r="P148">
        <f>IF('tips dataset'!$C148="thur",1,0)</f>
        <v>0</v>
      </c>
      <c r="Q148" t="str">
        <f t="shared" si="11"/>
        <v>Medium</v>
      </c>
    </row>
    <row r="149" spans="1:17" x14ac:dyDescent="0.3">
      <c r="A149">
        <f>IF('tips dataset'!$A149="Male",1,0)</f>
        <v>1</v>
      </c>
      <c r="B149">
        <f>IF('tips dataset'!$A149="Female",1,0)</f>
        <v>0</v>
      </c>
      <c r="C149">
        <f>IF('tips dataset'!$B149="Yes",1,0)</f>
        <v>0</v>
      </c>
      <c r="D149">
        <f>IF('tips dataset'!$B149="No",1,0)</f>
        <v>1</v>
      </c>
      <c r="E149">
        <f>IF('tips dataset'!$C149="Sat",1,0)</f>
        <v>1</v>
      </c>
      <c r="F149">
        <f>IF('tips dataset'!$C149="fri",1,0)</f>
        <v>0</v>
      </c>
      <c r="G149">
        <f>IF('tips dataset'!$C149="Sun",1,0)</f>
        <v>0</v>
      </c>
      <c r="H149">
        <f>IF('tips dataset'!$D149="Lunch",1,0)</f>
        <v>0</v>
      </c>
      <c r="I149">
        <f>IF('tips dataset'!$D149="Dinner",1,0)</f>
        <v>1</v>
      </c>
      <c r="J149">
        <f>'tips dataset'!$E149</f>
        <v>2</v>
      </c>
      <c r="K149">
        <v>11.87</v>
      </c>
      <c r="L149">
        <v>1.63</v>
      </c>
      <c r="M149" s="12">
        <f t="shared" si="8"/>
        <v>0.13732097725358045</v>
      </c>
      <c r="N149" s="11">
        <f t="shared" si="9"/>
        <v>5.9349999999999996</v>
      </c>
      <c r="O149" s="11">
        <f t="shared" si="10"/>
        <v>0.81499999999999995</v>
      </c>
      <c r="P149">
        <f>IF('tips dataset'!$C149="thur",1,0)</f>
        <v>0</v>
      </c>
      <c r="Q149" t="str">
        <f t="shared" si="11"/>
        <v>Low</v>
      </c>
    </row>
    <row r="150" spans="1:17" x14ac:dyDescent="0.3">
      <c r="A150">
        <f>IF('tips dataset'!$A150="Male",1,0)</f>
        <v>0</v>
      </c>
      <c r="B150">
        <f>IF('tips dataset'!$A150="Female",1,0)</f>
        <v>1</v>
      </c>
      <c r="C150">
        <f>IF('tips dataset'!$B150="Yes",1,0)</f>
        <v>0</v>
      </c>
      <c r="D150">
        <f>IF('tips dataset'!$B150="No",1,0)</f>
        <v>1</v>
      </c>
      <c r="E150">
        <f>IF('tips dataset'!$C150="Sat",1,0)</f>
        <v>0</v>
      </c>
      <c r="F150">
        <f>IF('tips dataset'!$C150="fri",1,0)</f>
        <v>0</v>
      </c>
      <c r="G150">
        <f>IF('tips dataset'!$C150="Sun",1,0)</f>
        <v>0</v>
      </c>
      <c r="H150">
        <f>IF('tips dataset'!$D150="Lunch",1,0)</f>
        <v>1</v>
      </c>
      <c r="I150">
        <f>IF('tips dataset'!$D150="Dinner",1,0)</f>
        <v>0</v>
      </c>
      <c r="J150">
        <f>'tips dataset'!$E150</f>
        <v>2</v>
      </c>
      <c r="K150">
        <v>9.7799999999999994</v>
      </c>
      <c r="L150">
        <v>1.73</v>
      </c>
      <c r="M150" s="12">
        <f t="shared" si="8"/>
        <v>0.17689161554192229</v>
      </c>
      <c r="N150" s="11">
        <f t="shared" si="9"/>
        <v>4.8899999999999997</v>
      </c>
      <c r="O150" s="11">
        <f t="shared" si="10"/>
        <v>0.86499999999999999</v>
      </c>
      <c r="P150">
        <f>IF('tips dataset'!$C150="thur",1,0)</f>
        <v>1</v>
      </c>
      <c r="Q150" t="str">
        <f t="shared" si="11"/>
        <v>Low</v>
      </c>
    </row>
    <row r="151" spans="1:17" x14ac:dyDescent="0.3">
      <c r="A151">
        <f>IF('tips dataset'!$A151="Male",1,0)</f>
        <v>0</v>
      </c>
      <c r="B151">
        <f>IF('tips dataset'!$A151="Female",1,0)</f>
        <v>1</v>
      </c>
      <c r="C151">
        <f>IF('tips dataset'!$B151="Yes",1,0)</f>
        <v>0</v>
      </c>
      <c r="D151">
        <f>IF('tips dataset'!$B151="No",1,0)</f>
        <v>1</v>
      </c>
      <c r="E151">
        <f>IF('tips dataset'!$C151="Sat",1,0)</f>
        <v>1</v>
      </c>
      <c r="F151">
        <f>IF('tips dataset'!$C151="fri",1,0)</f>
        <v>0</v>
      </c>
      <c r="G151">
        <f>IF('tips dataset'!$C151="Sun",1,0)</f>
        <v>0</v>
      </c>
      <c r="H151">
        <f>IF('tips dataset'!$D151="Lunch",1,0)</f>
        <v>0</v>
      </c>
      <c r="I151">
        <f>IF('tips dataset'!$D151="Dinner",1,0)</f>
        <v>1</v>
      </c>
      <c r="J151">
        <f>'tips dataset'!$E151</f>
        <v>2</v>
      </c>
      <c r="K151">
        <v>7.51</v>
      </c>
      <c r="L151">
        <v>2</v>
      </c>
      <c r="M151" s="12">
        <f t="shared" si="8"/>
        <v>0.26631158455392812</v>
      </c>
      <c r="N151" s="11">
        <f t="shared" si="9"/>
        <v>3.7549999999999999</v>
      </c>
      <c r="O151" s="11">
        <f t="shared" si="10"/>
        <v>1</v>
      </c>
      <c r="P151">
        <f>IF('tips dataset'!$C151="thur",1,0)</f>
        <v>0</v>
      </c>
      <c r="Q151" t="str">
        <f t="shared" si="11"/>
        <v>Low</v>
      </c>
    </row>
    <row r="152" spans="1:17" x14ac:dyDescent="0.3">
      <c r="A152">
        <f>IF('tips dataset'!$A152="Male",1,0)</f>
        <v>1</v>
      </c>
      <c r="B152">
        <f>IF('tips dataset'!$A152="Female",1,0)</f>
        <v>0</v>
      </c>
      <c r="C152">
        <f>IF('tips dataset'!$B152="Yes",1,0)</f>
        <v>1</v>
      </c>
      <c r="D152">
        <f>IF('tips dataset'!$B152="No",1,0)</f>
        <v>0</v>
      </c>
      <c r="E152">
        <f>IF('tips dataset'!$C152="Sat",1,0)</f>
        <v>1</v>
      </c>
      <c r="F152">
        <f>IF('tips dataset'!$C152="fri",1,0)</f>
        <v>0</v>
      </c>
      <c r="G152">
        <f>IF('tips dataset'!$C152="Sun",1,0)</f>
        <v>0</v>
      </c>
      <c r="H152">
        <f>IF('tips dataset'!$D152="Lunch",1,0)</f>
        <v>0</v>
      </c>
      <c r="I152">
        <f>IF('tips dataset'!$D152="Dinner",1,0)</f>
        <v>1</v>
      </c>
      <c r="J152">
        <f>'tips dataset'!$E152</f>
        <v>2</v>
      </c>
      <c r="K152">
        <v>14.07</v>
      </c>
      <c r="L152">
        <v>2.5</v>
      </c>
      <c r="M152" s="12">
        <f t="shared" si="8"/>
        <v>0.17768301350390903</v>
      </c>
      <c r="N152" s="11">
        <f t="shared" si="9"/>
        <v>7.0350000000000001</v>
      </c>
      <c r="O152" s="11">
        <f t="shared" si="10"/>
        <v>1.25</v>
      </c>
      <c r="P152">
        <f>IF('tips dataset'!$C152="thur",1,0)</f>
        <v>0</v>
      </c>
      <c r="Q152" t="str">
        <f t="shared" si="11"/>
        <v>Low</v>
      </c>
    </row>
    <row r="153" spans="1:17" x14ac:dyDescent="0.3">
      <c r="A153">
        <f>IF('tips dataset'!$A153="Male",1,0)</f>
        <v>1</v>
      </c>
      <c r="B153">
        <f>IF('tips dataset'!$A153="Female",1,0)</f>
        <v>0</v>
      </c>
      <c r="C153">
        <f>IF('tips dataset'!$B153="Yes",1,0)</f>
        <v>0</v>
      </c>
      <c r="D153">
        <f>IF('tips dataset'!$B153="No",1,0)</f>
        <v>1</v>
      </c>
      <c r="E153">
        <f>IF('tips dataset'!$C153="Sat",1,0)</f>
        <v>1</v>
      </c>
      <c r="F153">
        <f>IF('tips dataset'!$C153="fri",1,0)</f>
        <v>0</v>
      </c>
      <c r="G153">
        <f>IF('tips dataset'!$C153="Sun",1,0)</f>
        <v>0</v>
      </c>
      <c r="H153">
        <f>IF('tips dataset'!$D153="Lunch",1,0)</f>
        <v>0</v>
      </c>
      <c r="I153">
        <f>IF('tips dataset'!$D153="Dinner",1,0)</f>
        <v>1</v>
      </c>
      <c r="J153">
        <f>'tips dataset'!$E153</f>
        <v>4</v>
      </c>
      <c r="K153">
        <v>13.13</v>
      </c>
      <c r="L153">
        <v>2</v>
      </c>
      <c r="M153" s="12">
        <f t="shared" si="8"/>
        <v>0.15232292460015232</v>
      </c>
      <c r="N153" s="11">
        <f t="shared" si="9"/>
        <v>3.2825000000000002</v>
      </c>
      <c r="O153" s="11">
        <f t="shared" si="10"/>
        <v>0.5</v>
      </c>
      <c r="P153">
        <f>IF('tips dataset'!$C153="thur",1,0)</f>
        <v>0</v>
      </c>
      <c r="Q153" t="str">
        <f t="shared" si="11"/>
        <v>Low</v>
      </c>
    </row>
    <row r="154" spans="1:17" x14ac:dyDescent="0.3">
      <c r="A154">
        <f>IF('tips dataset'!$A154="Male",1,0)</f>
        <v>1</v>
      </c>
      <c r="B154">
        <f>IF('tips dataset'!$A154="Female",1,0)</f>
        <v>0</v>
      </c>
      <c r="C154">
        <f>IF('tips dataset'!$B154="Yes",1,0)</f>
        <v>1</v>
      </c>
      <c r="D154">
        <f>IF('tips dataset'!$B154="No",1,0)</f>
        <v>0</v>
      </c>
      <c r="E154">
        <f>IF('tips dataset'!$C154="Sat",1,0)</f>
        <v>1</v>
      </c>
      <c r="F154">
        <f>IF('tips dataset'!$C154="fri",1,0)</f>
        <v>0</v>
      </c>
      <c r="G154">
        <f>IF('tips dataset'!$C154="Sun",1,0)</f>
        <v>0</v>
      </c>
      <c r="H154">
        <f>IF('tips dataset'!$D154="Lunch",1,0)</f>
        <v>0</v>
      </c>
      <c r="I154">
        <f>IF('tips dataset'!$D154="Dinner",1,0)</f>
        <v>1</v>
      </c>
      <c r="J154">
        <f>'tips dataset'!$E154</f>
        <v>2</v>
      </c>
      <c r="K154">
        <v>17.260000000000002</v>
      </c>
      <c r="L154">
        <v>2.74</v>
      </c>
      <c r="M154" s="12">
        <f t="shared" si="8"/>
        <v>0.15874855156431053</v>
      </c>
      <c r="N154" s="11">
        <f t="shared" si="9"/>
        <v>8.6300000000000008</v>
      </c>
      <c r="O154" s="11">
        <f t="shared" si="10"/>
        <v>1.37</v>
      </c>
      <c r="P154">
        <f>IF('tips dataset'!$C154="thur",1,0)</f>
        <v>0</v>
      </c>
      <c r="Q154" t="str">
        <f t="shared" si="11"/>
        <v>Medium</v>
      </c>
    </row>
    <row r="155" spans="1:17" x14ac:dyDescent="0.3">
      <c r="A155">
        <f>IF('tips dataset'!$A155="Male",1,0)</f>
        <v>1</v>
      </c>
      <c r="B155">
        <f>IF('tips dataset'!$A155="Female",1,0)</f>
        <v>0</v>
      </c>
      <c r="C155">
        <f>IF('tips dataset'!$B155="Yes",1,0)</f>
        <v>1</v>
      </c>
      <c r="D155">
        <f>IF('tips dataset'!$B155="No",1,0)</f>
        <v>0</v>
      </c>
      <c r="E155">
        <f>IF('tips dataset'!$C155="Sat",1,0)</f>
        <v>0</v>
      </c>
      <c r="F155">
        <f>IF('tips dataset'!$C155="fri",1,0)</f>
        <v>0</v>
      </c>
      <c r="G155">
        <f>IF('tips dataset'!$C155="Sun",1,0)</f>
        <v>0</v>
      </c>
      <c r="H155">
        <f>IF('tips dataset'!$D155="Lunch",1,0)</f>
        <v>1</v>
      </c>
      <c r="I155">
        <f>IF('tips dataset'!$D155="Dinner",1,0)</f>
        <v>0</v>
      </c>
      <c r="J155">
        <f>'tips dataset'!$E155</f>
        <v>4</v>
      </c>
      <c r="K155">
        <v>24.55</v>
      </c>
      <c r="L155">
        <v>2</v>
      </c>
      <c r="M155" s="12">
        <f t="shared" si="8"/>
        <v>8.1466395112016296E-2</v>
      </c>
      <c r="N155" s="11">
        <f t="shared" si="9"/>
        <v>6.1375000000000002</v>
      </c>
      <c r="O155" s="11">
        <f t="shared" si="10"/>
        <v>0.5</v>
      </c>
      <c r="P155">
        <f>IF('tips dataset'!$C155="thur",1,0)</f>
        <v>1</v>
      </c>
      <c r="Q155" t="str">
        <f t="shared" si="11"/>
        <v>Medium</v>
      </c>
    </row>
    <row r="156" spans="1:17" x14ac:dyDescent="0.3">
      <c r="A156">
        <f>IF('tips dataset'!$A156="Male",1,0)</f>
        <v>1</v>
      </c>
      <c r="B156">
        <f>IF('tips dataset'!$A156="Female",1,0)</f>
        <v>0</v>
      </c>
      <c r="C156">
        <f>IF('tips dataset'!$B156="Yes",1,0)</f>
        <v>0</v>
      </c>
      <c r="D156">
        <f>IF('tips dataset'!$B156="No",1,0)</f>
        <v>1</v>
      </c>
      <c r="E156">
        <f>IF('tips dataset'!$C156="Sat",1,0)</f>
        <v>1</v>
      </c>
      <c r="F156">
        <f>IF('tips dataset'!$C156="fri",1,0)</f>
        <v>0</v>
      </c>
      <c r="G156">
        <f>IF('tips dataset'!$C156="Sun",1,0)</f>
        <v>0</v>
      </c>
      <c r="H156">
        <f>IF('tips dataset'!$D156="Lunch",1,0)</f>
        <v>0</v>
      </c>
      <c r="I156">
        <f>IF('tips dataset'!$D156="Dinner",1,0)</f>
        <v>1</v>
      </c>
      <c r="J156">
        <f>'tips dataset'!$E156</f>
        <v>3</v>
      </c>
      <c r="K156">
        <v>19.77</v>
      </c>
      <c r="L156">
        <v>2</v>
      </c>
      <c r="M156" s="12">
        <f t="shared" si="8"/>
        <v>0.10116337885685382</v>
      </c>
      <c r="N156" s="11">
        <f t="shared" si="9"/>
        <v>6.59</v>
      </c>
      <c r="O156" s="11">
        <f t="shared" si="10"/>
        <v>0.66666666666666663</v>
      </c>
      <c r="P156">
        <f>IF('tips dataset'!$C156="thur",1,0)</f>
        <v>0</v>
      </c>
      <c r="Q156" t="str">
        <f t="shared" si="11"/>
        <v>Medium</v>
      </c>
    </row>
    <row r="157" spans="1:17" x14ac:dyDescent="0.3">
      <c r="A157">
        <f>IF('tips dataset'!$A157="Male",1,0)</f>
        <v>0</v>
      </c>
      <c r="B157">
        <f>IF('tips dataset'!$A157="Female",1,0)</f>
        <v>1</v>
      </c>
      <c r="C157">
        <f>IF('tips dataset'!$B157="Yes",1,0)</f>
        <v>0</v>
      </c>
      <c r="D157">
        <f>IF('tips dataset'!$B157="No",1,0)</f>
        <v>1</v>
      </c>
      <c r="E157">
        <f>IF('tips dataset'!$C157="Sat",1,0)</f>
        <v>1</v>
      </c>
      <c r="F157">
        <f>IF('tips dataset'!$C157="fri",1,0)</f>
        <v>0</v>
      </c>
      <c r="G157">
        <f>IF('tips dataset'!$C157="Sun",1,0)</f>
        <v>0</v>
      </c>
      <c r="H157">
        <f>IF('tips dataset'!$D157="Lunch",1,0)</f>
        <v>0</v>
      </c>
      <c r="I157">
        <f>IF('tips dataset'!$D157="Dinner",1,0)</f>
        <v>1</v>
      </c>
      <c r="J157">
        <f>'tips dataset'!$E157</f>
        <v>4</v>
      </c>
      <c r="K157">
        <v>29.85</v>
      </c>
      <c r="L157">
        <v>5.14</v>
      </c>
      <c r="M157" s="12">
        <f t="shared" si="8"/>
        <v>0.17219430485762141</v>
      </c>
      <c r="N157" s="11">
        <f t="shared" si="9"/>
        <v>7.4625000000000004</v>
      </c>
      <c r="O157" s="11">
        <f t="shared" si="10"/>
        <v>1.2849999999999999</v>
      </c>
      <c r="P157">
        <f>IF('tips dataset'!$C157="thur",1,0)</f>
        <v>0</v>
      </c>
      <c r="Q157" t="str">
        <f t="shared" si="11"/>
        <v>High</v>
      </c>
    </row>
    <row r="158" spans="1:17" x14ac:dyDescent="0.3">
      <c r="A158">
        <f>IF('tips dataset'!$A158="Male",1,0)</f>
        <v>1</v>
      </c>
      <c r="B158">
        <f>IF('tips dataset'!$A158="Female",1,0)</f>
        <v>0</v>
      </c>
      <c r="C158">
        <f>IF('tips dataset'!$B158="Yes",1,0)</f>
        <v>0</v>
      </c>
      <c r="D158">
        <f>IF('tips dataset'!$B158="No",1,0)</f>
        <v>1</v>
      </c>
      <c r="E158">
        <f>IF('tips dataset'!$C158="Sat",1,0)</f>
        <v>0</v>
      </c>
      <c r="F158">
        <f>IF('tips dataset'!$C158="fri",1,0)</f>
        <v>0</v>
      </c>
      <c r="G158">
        <f>IF('tips dataset'!$C158="Sun",1,0)</f>
        <v>1</v>
      </c>
      <c r="H158">
        <f>IF('tips dataset'!$D158="Lunch",1,0)</f>
        <v>0</v>
      </c>
      <c r="I158">
        <f>IF('tips dataset'!$D158="Dinner",1,0)</f>
        <v>1</v>
      </c>
      <c r="J158">
        <f>'tips dataset'!$E158</f>
        <v>5</v>
      </c>
      <c r="K158">
        <v>48.17</v>
      </c>
      <c r="L158">
        <v>5</v>
      </c>
      <c r="M158" s="12">
        <f t="shared" si="8"/>
        <v>0.10379904504878555</v>
      </c>
      <c r="N158" s="11">
        <f t="shared" si="9"/>
        <v>9.6340000000000003</v>
      </c>
      <c r="O158" s="11">
        <f t="shared" si="10"/>
        <v>1</v>
      </c>
      <c r="P158">
        <f>IF('tips dataset'!$C158="thur",1,0)</f>
        <v>0</v>
      </c>
      <c r="Q158" t="str">
        <f t="shared" si="11"/>
        <v>Premium</v>
      </c>
    </row>
    <row r="159" spans="1:17" x14ac:dyDescent="0.3">
      <c r="A159">
        <f>IF('tips dataset'!$A159="Male",1,0)</f>
        <v>1</v>
      </c>
      <c r="B159">
        <f>IF('tips dataset'!$A159="Female",1,0)</f>
        <v>0</v>
      </c>
      <c r="C159">
        <f>IF('tips dataset'!$B159="Yes",1,0)</f>
        <v>0</v>
      </c>
      <c r="D159">
        <f>IF('tips dataset'!$B159="No",1,0)</f>
        <v>1</v>
      </c>
      <c r="E159">
        <f>IF('tips dataset'!$C159="Sat",1,0)</f>
        <v>0</v>
      </c>
      <c r="F159">
        <f>IF('tips dataset'!$C159="fri",1,0)</f>
        <v>0</v>
      </c>
      <c r="G159">
        <f>IF('tips dataset'!$C159="Sun",1,0)</f>
        <v>1</v>
      </c>
      <c r="H159">
        <f>IF('tips dataset'!$D159="Lunch",1,0)</f>
        <v>0</v>
      </c>
      <c r="I159">
        <f>IF('tips dataset'!$D159="Dinner",1,0)</f>
        <v>1</v>
      </c>
      <c r="J159">
        <f>'tips dataset'!$E159</f>
        <v>2</v>
      </c>
      <c r="K159">
        <v>25</v>
      </c>
      <c r="L159">
        <v>3.75</v>
      </c>
      <c r="M159" s="12">
        <f t="shared" si="8"/>
        <v>0.15</v>
      </c>
      <c r="N159" s="11">
        <f t="shared" si="9"/>
        <v>12.5</v>
      </c>
      <c r="O159" s="11">
        <f t="shared" si="10"/>
        <v>1.875</v>
      </c>
      <c r="P159">
        <f>IF('tips dataset'!$C159="thur",1,0)</f>
        <v>0</v>
      </c>
      <c r="Q159" t="str">
        <f t="shared" si="11"/>
        <v>High</v>
      </c>
    </row>
    <row r="160" spans="1:17" x14ac:dyDescent="0.3">
      <c r="A160">
        <f>IF('tips dataset'!$A160="Male",1,0)</f>
        <v>0</v>
      </c>
      <c r="B160">
        <f>IF('tips dataset'!$A160="Female",1,0)</f>
        <v>1</v>
      </c>
      <c r="C160">
        <f>IF('tips dataset'!$B160="Yes",1,0)</f>
        <v>1</v>
      </c>
      <c r="D160">
        <f>IF('tips dataset'!$B160="No",1,0)</f>
        <v>0</v>
      </c>
      <c r="E160">
        <f>IF('tips dataset'!$C160="Sat",1,0)</f>
        <v>0</v>
      </c>
      <c r="F160">
        <f>IF('tips dataset'!$C160="fri",1,0)</f>
        <v>0</v>
      </c>
      <c r="G160">
        <f>IF('tips dataset'!$C160="Sun",1,0)</f>
        <v>1</v>
      </c>
      <c r="H160">
        <f>IF('tips dataset'!$D160="Lunch",1,0)</f>
        <v>0</v>
      </c>
      <c r="I160">
        <f>IF('tips dataset'!$D160="Dinner",1,0)</f>
        <v>1</v>
      </c>
      <c r="J160">
        <f>'tips dataset'!$E160</f>
        <v>3</v>
      </c>
      <c r="K160">
        <v>13.39</v>
      </c>
      <c r="L160">
        <v>2.61</v>
      </c>
      <c r="M160" s="12">
        <f t="shared" si="8"/>
        <v>0.19492158327109782</v>
      </c>
      <c r="N160" s="11">
        <f t="shared" si="9"/>
        <v>4.4633333333333338</v>
      </c>
      <c r="O160" s="11">
        <f t="shared" si="10"/>
        <v>0.87</v>
      </c>
      <c r="P160">
        <f>IF('tips dataset'!$C160="thur",1,0)</f>
        <v>0</v>
      </c>
      <c r="Q160" t="str">
        <f t="shared" si="11"/>
        <v>Low</v>
      </c>
    </row>
    <row r="161" spans="1:17" x14ac:dyDescent="0.3">
      <c r="A161">
        <f>IF('tips dataset'!$A161="Male",1,0)</f>
        <v>0</v>
      </c>
      <c r="B161">
        <f>IF('tips dataset'!$A161="Female",1,0)</f>
        <v>1</v>
      </c>
      <c r="C161">
        <f>IF('tips dataset'!$B161="Yes",1,0)</f>
        <v>0</v>
      </c>
      <c r="D161">
        <f>IF('tips dataset'!$B161="No",1,0)</f>
        <v>1</v>
      </c>
      <c r="E161">
        <f>IF('tips dataset'!$C161="Sat",1,0)</f>
        <v>1</v>
      </c>
      <c r="F161">
        <f>IF('tips dataset'!$C161="fri",1,0)</f>
        <v>0</v>
      </c>
      <c r="G161">
        <f>IF('tips dataset'!$C161="Sun",1,0)</f>
        <v>0</v>
      </c>
      <c r="H161">
        <f>IF('tips dataset'!$D161="Lunch",1,0)</f>
        <v>0</v>
      </c>
      <c r="I161">
        <f>IF('tips dataset'!$D161="Dinner",1,0)</f>
        <v>1</v>
      </c>
      <c r="J161">
        <f>'tips dataset'!$E161</f>
        <v>2</v>
      </c>
      <c r="K161">
        <v>16.489999999999998</v>
      </c>
      <c r="L161">
        <v>2</v>
      </c>
      <c r="M161" s="12">
        <f t="shared" si="8"/>
        <v>0.12128562765312312</v>
      </c>
      <c r="N161" s="11">
        <f t="shared" si="9"/>
        <v>8.2449999999999992</v>
      </c>
      <c r="O161" s="11">
        <f t="shared" si="10"/>
        <v>1</v>
      </c>
      <c r="P161">
        <f>IF('tips dataset'!$C161="thur",1,0)</f>
        <v>0</v>
      </c>
      <c r="Q161" t="str">
        <f t="shared" si="11"/>
        <v>Medium</v>
      </c>
    </row>
    <row r="162" spans="1:17" x14ac:dyDescent="0.3">
      <c r="A162">
        <f>IF('tips dataset'!$A162="Male",1,0)</f>
        <v>1</v>
      </c>
      <c r="B162">
        <f>IF('tips dataset'!$A162="Female",1,0)</f>
        <v>0</v>
      </c>
      <c r="C162">
        <f>IF('tips dataset'!$B162="Yes",1,0)</f>
        <v>0</v>
      </c>
      <c r="D162">
        <f>IF('tips dataset'!$B162="No",1,0)</f>
        <v>1</v>
      </c>
      <c r="E162">
        <f>IF('tips dataset'!$C162="Sat",1,0)</f>
        <v>0</v>
      </c>
      <c r="F162">
        <f>IF('tips dataset'!$C162="fri",1,0)</f>
        <v>0</v>
      </c>
      <c r="G162">
        <f>IF('tips dataset'!$C162="Sun",1,0)</f>
        <v>1</v>
      </c>
      <c r="H162">
        <f>IF('tips dataset'!$D162="Lunch",1,0)</f>
        <v>0</v>
      </c>
      <c r="I162">
        <f>IF('tips dataset'!$D162="Dinner",1,0)</f>
        <v>1</v>
      </c>
      <c r="J162">
        <f>'tips dataset'!$E162</f>
        <v>3</v>
      </c>
      <c r="K162">
        <v>21.5</v>
      </c>
      <c r="L162">
        <v>3.5</v>
      </c>
      <c r="M162" s="12">
        <f t="shared" si="8"/>
        <v>0.16279069767441862</v>
      </c>
      <c r="N162" s="11">
        <f t="shared" si="9"/>
        <v>7.166666666666667</v>
      </c>
      <c r="O162" s="11">
        <f t="shared" si="10"/>
        <v>1.1666666666666667</v>
      </c>
      <c r="P162">
        <f>IF('tips dataset'!$C162="thur",1,0)</f>
        <v>0</v>
      </c>
      <c r="Q162" t="str">
        <f t="shared" si="11"/>
        <v>Medium</v>
      </c>
    </row>
    <row r="163" spans="1:17" x14ac:dyDescent="0.3">
      <c r="A163">
        <f>IF('tips dataset'!$A163="Male",1,0)</f>
        <v>1</v>
      </c>
      <c r="B163">
        <f>IF('tips dataset'!$A163="Female",1,0)</f>
        <v>0</v>
      </c>
      <c r="C163">
        <f>IF('tips dataset'!$B163="Yes",1,0)</f>
        <v>1</v>
      </c>
      <c r="D163">
        <f>IF('tips dataset'!$B163="No",1,0)</f>
        <v>0</v>
      </c>
      <c r="E163">
        <f>IF('tips dataset'!$C163="Sat",1,0)</f>
        <v>0</v>
      </c>
      <c r="F163">
        <f>IF('tips dataset'!$C163="fri",1,0)</f>
        <v>1</v>
      </c>
      <c r="G163">
        <f>IF('tips dataset'!$C163="Sun",1,0)</f>
        <v>0</v>
      </c>
      <c r="H163">
        <f>IF('tips dataset'!$D163="Lunch",1,0)</f>
        <v>0</v>
      </c>
      <c r="I163">
        <f>IF('tips dataset'!$D163="Dinner",1,0)</f>
        <v>1</v>
      </c>
      <c r="J163">
        <f>'tips dataset'!$E163</f>
        <v>2</v>
      </c>
      <c r="K163">
        <v>12.66</v>
      </c>
      <c r="L163">
        <v>2.5</v>
      </c>
      <c r="M163" s="12">
        <f t="shared" si="8"/>
        <v>0.19747235387045814</v>
      </c>
      <c r="N163" s="11">
        <f t="shared" si="9"/>
        <v>6.33</v>
      </c>
      <c r="O163" s="11">
        <f t="shared" si="10"/>
        <v>1.25</v>
      </c>
      <c r="P163">
        <f>IF('tips dataset'!$C163="thur",1,0)</f>
        <v>0</v>
      </c>
      <c r="Q163" t="str">
        <f t="shared" si="11"/>
        <v>Low</v>
      </c>
    </row>
    <row r="164" spans="1:17" x14ac:dyDescent="0.3">
      <c r="A164">
        <f>IF('tips dataset'!$A164="Male",1,0)</f>
        <v>1</v>
      </c>
      <c r="B164">
        <f>IF('tips dataset'!$A164="Female",1,0)</f>
        <v>0</v>
      </c>
      <c r="C164">
        <f>IF('tips dataset'!$B164="Yes",1,0)</f>
        <v>0</v>
      </c>
      <c r="D164">
        <f>IF('tips dataset'!$B164="No",1,0)</f>
        <v>1</v>
      </c>
      <c r="E164">
        <f>IF('tips dataset'!$C164="Sat",1,0)</f>
        <v>0</v>
      </c>
      <c r="F164">
        <f>IF('tips dataset'!$C164="fri",1,0)</f>
        <v>0</v>
      </c>
      <c r="G164">
        <f>IF('tips dataset'!$C164="Sun",1,0)</f>
        <v>0</v>
      </c>
      <c r="H164">
        <f>IF('tips dataset'!$D164="Lunch",1,0)</f>
        <v>1</v>
      </c>
      <c r="I164">
        <f>IF('tips dataset'!$D164="Dinner",1,0)</f>
        <v>0</v>
      </c>
      <c r="J164">
        <f>'tips dataset'!$E164</f>
        <v>2</v>
      </c>
      <c r="K164">
        <v>16.21</v>
      </c>
      <c r="L164">
        <v>2</v>
      </c>
      <c r="M164" s="12">
        <f t="shared" si="8"/>
        <v>0.12338062924120913</v>
      </c>
      <c r="N164" s="11">
        <f t="shared" si="9"/>
        <v>8.1050000000000004</v>
      </c>
      <c r="O164" s="11">
        <f t="shared" si="10"/>
        <v>1</v>
      </c>
      <c r="P164">
        <f>IF('tips dataset'!$C164="thur",1,0)</f>
        <v>1</v>
      </c>
      <c r="Q164" t="str">
        <f t="shared" si="11"/>
        <v>Medium</v>
      </c>
    </row>
    <row r="165" spans="1:17" x14ac:dyDescent="0.3">
      <c r="A165">
        <f>IF('tips dataset'!$A165="Male",1,0)</f>
        <v>1</v>
      </c>
      <c r="B165">
        <f>IF('tips dataset'!$A165="Female",1,0)</f>
        <v>0</v>
      </c>
      <c r="C165">
        <f>IF('tips dataset'!$B165="Yes",1,0)</f>
        <v>0</v>
      </c>
      <c r="D165">
        <f>IF('tips dataset'!$B165="No",1,0)</f>
        <v>1</v>
      </c>
      <c r="E165">
        <f>IF('tips dataset'!$C165="Sat",1,0)</f>
        <v>0</v>
      </c>
      <c r="F165">
        <f>IF('tips dataset'!$C165="fri",1,0)</f>
        <v>0</v>
      </c>
      <c r="G165">
        <f>IF('tips dataset'!$C165="Sun",1,0)</f>
        <v>1</v>
      </c>
      <c r="H165">
        <f>IF('tips dataset'!$D165="Lunch",1,0)</f>
        <v>0</v>
      </c>
      <c r="I165">
        <f>IF('tips dataset'!$D165="Dinner",1,0)</f>
        <v>1</v>
      </c>
      <c r="J165">
        <f>'tips dataset'!$E165</f>
        <v>4</v>
      </c>
      <c r="K165">
        <v>13.81</v>
      </c>
      <c r="L165">
        <v>2</v>
      </c>
      <c r="M165" s="12">
        <f t="shared" si="8"/>
        <v>0.14482259232440259</v>
      </c>
      <c r="N165" s="11">
        <f t="shared" si="9"/>
        <v>3.4525000000000001</v>
      </c>
      <c r="O165" s="11">
        <f t="shared" si="10"/>
        <v>0.5</v>
      </c>
      <c r="P165">
        <f>IF('tips dataset'!$C165="thur",1,0)</f>
        <v>0</v>
      </c>
      <c r="Q165" t="str">
        <f t="shared" si="11"/>
        <v>Low</v>
      </c>
    </row>
    <row r="166" spans="1:17" x14ac:dyDescent="0.3">
      <c r="A166">
        <f>IF('tips dataset'!$A166="Male",1,0)</f>
        <v>1</v>
      </c>
      <c r="B166">
        <f>IF('tips dataset'!$A166="Female",1,0)</f>
        <v>0</v>
      </c>
      <c r="C166">
        <f>IF('tips dataset'!$B166="Yes",1,0)</f>
        <v>0</v>
      </c>
      <c r="D166">
        <f>IF('tips dataset'!$B166="No",1,0)</f>
        <v>1</v>
      </c>
      <c r="E166">
        <f>IF('tips dataset'!$C166="Sat",1,0)</f>
        <v>0</v>
      </c>
      <c r="F166">
        <f>IF('tips dataset'!$C166="fri",1,0)</f>
        <v>0</v>
      </c>
      <c r="G166">
        <f>IF('tips dataset'!$C166="Sun",1,0)</f>
        <v>1</v>
      </c>
      <c r="H166">
        <f>IF('tips dataset'!$D166="Lunch",1,0)</f>
        <v>0</v>
      </c>
      <c r="I166">
        <f>IF('tips dataset'!$D166="Dinner",1,0)</f>
        <v>1</v>
      </c>
      <c r="J166">
        <f>'tips dataset'!$E166</f>
        <v>2</v>
      </c>
      <c r="K166">
        <v>17.510000000000002</v>
      </c>
      <c r="L166">
        <v>3</v>
      </c>
      <c r="M166" s="12">
        <f t="shared" si="8"/>
        <v>0.17133066818960593</v>
      </c>
      <c r="N166" s="11">
        <f t="shared" si="9"/>
        <v>8.7550000000000008</v>
      </c>
      <c r="O166" s="11">
        <f t="shared" si="10"/>
        <v>1.5</v>
      </c>
      <c r="P166">
        <f>IF('tips dataset'!$C166="thur",1,0)</f>
        <v>0</v>
      </c>
      <c r="Q166" t="str">
        <f t="shared" si="11"/>
        <v>Medium</v>
      </c>
    </row>
    <row r="167" spans="1:17" x14ac:dyDescent="0.3">
      <c r="A167">
        <f>IF('tips dataset'!$A167="Male",1,0)</f>
        <v>1</v>
      </c>
      <c r="B167">
        <f>IF('tips dataset'!$A167="Female",1,0)</f>
        <v>0</v>
      </c>
      <c r="C167">
        <f>IF('tips dataset'!$B167="Yes",1,0)</f>
        <v>0</v>
      </c>
      <c r="D167">
        <f>IF('tips dataset'!$B167="No",1,0)</f>
        <v>1</v>
      </c>
      <c r="E167">
        <f>IF('tips dataset'!$C167="Sat",1,0)</f>
        <v>1</v>
      </c>
      <c r="F167">
        <f>IF('tips dataset'!$C167="fri",1,0)</f>
        <v>0</v>
      </c>
      <c r="G167">
        <f>IF('tips dataset'!$C167="Sun",1,0)</f>
        <v>0</v>
      </c>
      <c r="H167">
        <f>IF('tips dataset'!$D167="Lunch",1,0)</f>
        <v>0</v>
      </c>
      <c r="I167">
        <f>IF('tips dataset'!$D167="Dinner",1,0)</f>
        <v>1</v>
      </c>
      <c r="J167">
        <f>'tips dataset'!$E167</f>
        <v>2</v>
      </c>
      <c r="K167">
        <v>24.52</v>
      </c>
      <c r="L167">
        <v>3.48</v>
      </c>
      <c r="M167" s="12">
        <f t="shared" si="8"/>
        <v>0.14192495921696574</v>
      </c>
      <c r="N167" s="11">
        <f t="shared" si="9"/>
        <v>12.26</v>
      </c>
      <c r="O167" s="11">
        <f t="shared" si="10"/>
        <v>1.74</v>
      </c>
      <c r="P167">
        <f>IF('tips dataset'!$C167="thur",1,0)</f>
        <v>0</v>
      </c>
      <c r="Q167" t="str">
        <f t="shared" si="11"/>
        <v>Medium</v>
      </c>
    </row>
    <row r="168" spans="1:17" x14ac:dyDescent="0.3">
      <c r="A168">
        <f>IF('tips dataset'!$A168="Male",1,0)</f>
        <v>0</v>
      </c>
      <c r="B168">
        <f>IF('tips dataset'!$A168="Female",1,0)</f>
        <v>1</v>
      </c>
      <c r="C168">
        <f>IF('tips dataset'!$B168="Yes",1,0)</f>
        <v>1</v>
      </c>
      <c r="D168">
        <f>IF('tips dataset'!$B168="No",1,0)</f>
        <v>0</v>
      </c>
      <c r="E168">
        <f>IF('tips dataset'!$C168="Sat",1,0)</f>
        <v>1</v>
      </c>
      <c r="F168">
        <f>IF('tips dataset'!$C168="fri",1,0)</f>
        <v>0</v>
      </c>
      <c r="G168">
        <f>IF('tips dataset'!$C168="Sun",1,0)</f>
        <v>0</v>
      </c>
      <c r="H168">
        <f>IF('tips dataset'!$D168="Lunch",1,0)</f>
        <v>0</v>
      </c>
      <c r="I168">
        <f>IF('tips dataset'!$D168="Dinner",1,0)</f>
        <v>1</v>
      </c>
      <c r="J168">
        <f>'tips dataset'!$E168</f>
        <v>2</v>
      </c>
      <c r="K168">
        <v>20.76</v>
      </c>
      <c r="L168">
        <v>2.2400000000000002</v>
      </c>
      <c r="M168" s="12">
        <f t="shared" si="8"/>
        <v>0.10789980732177264</v>
      </c>
      <c r="N168" s="11">
        <f t="shared" si="9"/>
        <v>10.38</v>
      </c>
      <c r="O168" s="11">
        <f t="shared" si="10"/>
        <v>1.1200000000000001</v>
      </c>
      <c r="P168">
        <f>IF('tips dataset'!$C168="thur",1,0)</f>
        <v>0</v>
      </c>
      <c r="Q168" t="str">
        <f t="shared" si="11"/>
        <v>Medium</v>
      </c>
    </row>
    <row r="169" spans="1:17" x14ac:dyDescent="0.3">
      <c r="A169">
        <f>IF('tips dataset'!$A169="Male",1,0)</f>
        <v>1</v>
      </c>
      <c r="B169">
        <f>IF('tips dataset'!$A169="Female",1,0)</f>
        <v>0</v>
      </c>
      <c r="C169">
        <f>IF('tips dataset'!$B169="Yes",1,0)</f>
        <v>0</v>
      </c>
      <c r="D169">
        <f>IF('tips dataset'!$B169="No",1,0)</f>
        <v>1</v>
      </c>
      <c r="E169">
        <f>IF('tips dataset'!$C169="Sat",1,0)</f>
        <v>0</v>
      </c>
      <c r="F169">
        <f>IF('tips dataset'!$C169="fri",1,0)</f>
        <v>0</v>
      </c>
      <c r="G169">
        <f>IF('tips dataset'!$C169="Sun",1,0)</f>
        <v>1</v>
      </c>
      <c r="H169">
        <f>IF('tips dataset'!$D169="Lunch",1,0)</f>
        <v>0</v>
      </c>
      <c r="I169">
        <f>IF('tips dataset'!$D169="Dinner",1,0)</f>
        <v>1</v>
      </c>
      <c r="J169">
        <f>'tips dataset'!$E169</f>
        <v>2</v>
      </c>
      <c r="K169">
        <v>31.71</v>
      </c>
      <c r="L169">
        <v>4.5</v>
      </c>
      <c r="M169" s="12">
        <f t="shared" si="8"/>
        <v>0.14191106906338694</v>
      </c>
      <c r="N169" s="11">
        <f t="shared" si="9"/>
        <v>15.855</v>
      </c>
      <c r="O169" s="11">
        <f t="shared" si="10"/>
        <v>2.25</v>
      </c>
      <c r="P169">
        <f>IF('tips dataset'!$C169="thur",1,0)</f>
        <v>0</v>
      </c>
      <c r="Q169" t="str">
        <f t="shared" si="11"/>
        <v>High</v>
      </c>
    </row>
    <row r="170" spans="1:17" x14ac:dyDescent="0.3">
      <c r="A170">
        <f>IF('tips dataset'!$A170="Male",1,0)</f>
        <v>0</v>
      </c>
      <c r="B170">
        <f>IF('tips dataset'!$A170="Female",1,0)</f>
        <v>1</v>
      </c>
      <c r="C170">
        <f>IF('tips dataset'!$B170="Yes",1,0)</f>
        <v>1</v>
      </c>
      <c r="D170">
        <f>IF('tips dataset'!$B170="No",1,0)</f>
        <v>0</v>
      </c>
      <c r="E170">
        <f>IF('tips dataset'!$C170="Sat",1,0)</f>
        <v>1</v>
      </c>
      <c r="F170">
        <f>IF('tips dataset'!$C170="fri",1,0)</f>
        <v>0</v>
      </c>
      <c r="G170">
        <f>IF('tips dataset'!$C170="Sun",1,0)</f>
        <v>0</v>
      </c>
      <c r="H170">
        <f>IF('tips dataset'!$D170="Lunch",1,0)</f>
        <v>0</v>
      </c>
      <c r="I170">
        <f>IF('tips dataset'!$D170="Dinner",1,0)</f>
        <v>1</v>
      </c>
      <c r="J170">
        <f>'tips dataset'!$E170</f>
        <v>2</v>
      </c>
      <c r="K170">
        <v>10.59</v>
      </c>
      <c r="L170">
        <v>1.61</v>
      </c>
      <c r="M170" s="12">
        <f t="shared" si="8"/>
        <v>0.15203021718602455</v>
      </c>
      <c r="N170" s="11">
        <f t="shared" si="9"/>
        <v>5.2949999999999999</v>
      </c>
      <c r="O170" s="11">
        <f t="shared" si="10"/>
        <v>0.80500000000000005</v>
      </c>
      <c r="P170">
        <f>IF('tips dataset'!$C170="thur",1,0)</f>
        <v>0</v>
      </c>
      <c r="Q170" t="str">
        <f t="shared" si="11"/>
        <v>Low</v>
      </c>
    </row>
    <row r="171" spans="1:17" x14ac:dyDescent="0.3">
      <c r="A171">
        <f>IF('tips dataset'!$A171="Male",1,0)</f>
        <v>1</v>
      </c>
      <c r="B171">
        <f>IF('tips dataset'!$A171="Female",1,0)</f>
        <v>0</v>
      </c>
      <c r="C171">
        <f>IF('tips dataset'!$B171="Yes",1,0)</f>
        <v>0</v>
      </c>
      <c r="D171">
        <f>IF('tips dataset'!$B171="No",1,0)</f>
        <v>1</v>
      </c>
      <c r="E171">
        <f>IF('tips dataset'!$C171="Sat",1,0)</f>
        <v>0</v>
      </c>
      <c r="F171">
        <f>IF('tips dataset'!$C171="fri",1,0)</f>
        <v>1</v>
      </c>
      <c r="G171">
        <f>IF('tips dataset'!$C171="Sun",1,0)</f>
        <v>0</v>
      </c>
      <c r="H171">
        <f>IF('tips dataset'!$D171="Lunch",1,0)</f>
        <v>0</v>
      </c>
      <c r="I171">
        <f>IF('tips dataset'!$D171="Dinner",1,0)</f>
        <v>1</v>
      </c>
      <c r="J171">
        <f>'tips dataset'!$E171</f>
        <v>2</v>
      </c>
      <c r="K171">
        <v>10.63</v>
      </c>
      <c r="L171">
        <v>2</v>
      </c>
      <c r="M171" s="12">
        <f t="shared" si="8"/>
        <v>0.18814675446848542</v>
      </c>
      <c r="N171" s="11">
        <f t="shared" si="9"/>
        <v>5.3150000000000004</v>
      </c>
      <c r="O171" s="11">
        <f t="shared" si="10"/>
        <v>1</v>
      </c>
      <c r="P171">
        <f>IF('tips dataset'!$C171="thur",1,0)</f>
        <v>0</v>
      </c>
      <c r="Q171" t="str">
        <f t="shared" si="11"/>
        <v>Low</v>
      </c>
    </row>
    <row r="172" spans="1:17" x14ac:dyDescent="0.3">
      <c r="A172">
        <f>IF('tips dataset'!$A172="Male",1,0)</f>
        <v>1</v>
      </c>
      <c r="B172">
        <f>IF('tips dataset'!$A172="Female",1,0)</f>
        <v>0</v>
      </c>
      <c r="C172">
        <f>IF('tips dataset'!$B172="Yes",1,0)</f>
        <v>1</v>
      </c>
      <c r="D172">
        <f>IF('tips dataset'!$B172="No",1,0)</f>
        <v>0</v>
      </c>
      <c r="E172">
        <f>IF('tips dataset'!$C172="Sat",1,0)</f>
        <v>1</v>
      </c>
      <c r="F172">
        <f>IF('tips dataset'!$C172="fri",1,0)</f>
        <v>0</v>
      </c>
      <c r="G172">
        <f>IF('tips dataset'!$C172="Sun",1,0)</f>
        <v>0</v>
      </c>
      <c r="H172">
        <f>IF('tips dataset'!$D172="Lunch",1,0)</f>
        <v>0</v>
      </c>
      <c r="I172">
        <f>IF('tips dataset'!$D172="Dinner",1,0)</f>
        <v>1</v>
      </c>
      <c r="J172">
        <f>'tips dataset'!$E172</f>
        <v>2</v>
      </c>
      <c r="K172">
        <v>50.81</v>
      </c>
      <c r="L172">
        <v>10</v>
      </c>
      <c r="M172" s="12">
        <f t="shared" si="8"/>
        <v>0.19681165124975397</v>
      </c>
      <c r="N172" s="11">
        <f t="shared" si="9"/>
        <v>25.405000000000001</v>
      </c>
      <c r="O172" s="11">
        <f t="shared" si="10"/>
        <v>5</v>
      </c>
      <c r="P172">
        <f>IF('tips dataset'!$C172="thur",1,0)</f>
        <v>0</v>
      </c>
      <c r="Q172" t="str">
        <f t="shared" si="11"/>
        <v>Premium</v>
      </c>
    </row>
    <row r="173" spans="1:17" x14ac:dyDescent="0.3">
      <c r="A173">
        <f>IF('tips dataset'!$A173="Male",1,0)</f>
        <v>0</v>
      </c>
      <c r="B173">
        <f>IF('tips dataset'!$A173="Female",1,0)</f>
        <v>1</v>
      </c>
      <c r="C173">
        <f>IF('tips dataset'!$B173="Yes",1,0)</f>
        <v>0</v>
      </c>
      <c r="D173">
        <f>IF('tips dataset'!$B173="No",1,0)</f>
        <v>1</v>
      </c>
      <c r="E173">
        <f>IF('tips dataset'!$C173="Sat",1,0)</f>
        <v>0</v>
      </c>
      <c r="F173">
        <f>IF('tips dataset'!$C173="fri",1,0)</f>
        <v>1</v>
      </c>
      <c r="G173">
        <f>IF('tips dataset'!$C173="Sun",1,0)</f>
        <v>0</v>
      </c>
      <c r="H173">
        <f>IF('tips dataset'!$D173="Lunch",1,0)</f>
        <v>0</v>
      </c>
      <c r="I173">
        <f>IF('tips dataset'!$D173="Dinner",1,0)</f>
        <v>1</v>
      </c>
      <c r="J173">
        <f>'tips dataset'!$E173</f>
        <v>2</v>
      </c>
      <c r="K173">
        <v>15.81</v>
      </c>
      <c r="L173">
        <v>3.16</v>
      </c>
      <c r="M173" s="12">
        <f t="shared" si="8"/>
        <v>0.19987349778621127</v>
      </c>
      <c r="N173" s="11">
        <f t="shared" si="9"/>
        <v>7.9050000000000002</v>
      </c>
      <c r="O173" s="11">
        <f t="shared" si="10"/>
        <v>1.58</v>
      </c>
      <c r="P173">
        <f>IF('tips dataset'!$C173="thur",1,0)</f>
        <v>0</v>
      </c>
      <c r="Q173" t="str">
        <f t="shared" si="11"/>
        <v>Medium</v>
      </c>
    </row>
    <row r="174" spans="1:17" x14ac:dyDescent="0.3">
      <c r="A174">
        <f>IF('tips dataset'!$A174="Male",1,0)</f>
        <v>1</v>
      </c>
      <c r="B174">
        <f>IF('tips dataset'!$A174="Female",1,0)</f>
        <v>0</v>
      </c>
      <c r="C174">
        <f>IF('tips dataset'!$B174="Yes",1,0)</f>
        <v>0</v>
      </c>
      <c r="D174">
        <f>IF('tips dataset'!$B174="No",1,0)</f>
        <v>1</v>
      </c>
      <c r="E174">
        <f>IF('tips dataset'!$C174="Sat",1,0)</f>
        <v>0</v>
      </c>
      <c r="F174">
        <f>IF('tips dataset'!$C174="fri",1,0)</f>
        <v>0</v>
      </c>
      <c r="G174">
        <f>IF('tips dataset'!$C174="Sun",1,0)</f>
        <v>0</v>
      </c>
      <c r="H174">
        <f>IF('tips dataset'!$D174="Lunch",1,0)</f>
        <v>1</v>
      </c>
      <c r="I174">
        <f>IF('tips dataset'!$D174="Dinner",1,0)</f>
        <v>0</v>
      </c>
      <c r="J174">
        <f>'tips dataset'!$E174</f>
        <v>2</v>
      </c>
      <c r="K174">
        <v>7.25</v>
      </c>
      <c r="L174">
        <v>5.15</v>
      </c>
      <c r="M174" s="12">
        <f t="shared" si="8"/>
        <v>0.71034482758620698</v>
      </c>
      <c r="N174" s="11">
        <f t="shared" si="9"/>
        <v>3.625</v>
      </c>
      <c r="O174" s="11">
        <f t="shared" si="10"/>
        <v>2.5750000000000002</v>
      </c>
      <c r="P174">
        <f>IF('tips dataset'!$C174="thur",1,0)</f>
        <v>1</v>
      </c>
      <c r="Q174" t="str">
        <f t="shared" si="11"/>
        <v>Low</v>
      </c>
    </row>
    <row r="175" spans="1:17" x14ac:dyDescent="0.3">
      <c r="A175">
        <f>IF('tips dataset'!$A175="Male",1,0)</f>
        <v>1</v>
      </c>
      <c r="B175">
        <f>IF('tips dataset'!$A175="Female",1,0)</f>
        <v>0</v>
      </c>
      <c r="C175">
        <f>IF('tips dataset'!$B175="Yes",1,0)</f>
        <v>0</v>
      </c>
      <c r="D175">
        <f>IF('tips dataset'!$B175="No",1,0)</f>
        <v>1</v>
      </c>
      <c r="E175">
        <f>IF('tips dataset'!$C175="Sat",1,0)</f>
        <v>0</v>
      </c>
      <c r="F175">
        <f>IF('tips dataset'!$C175="fri",1,0)</f>
        <v>0</v>
      </c>
      <c r="G175">
        <f>IF('tips dataset'!$C175="Sun",1,0)</f>
        <v>0</v>
      </c>
      <c r="H175">
        <f>IF('tips dataset'!$D175="Lunch",1,0)</f>
        <v>1</v>
      </c>
      <c r="I175">
        <f>IF('tips dataset'!$D175="Dinner",1,0)</f>
        <v>0</v>
      </c>
      <c r="J175">
        <f>'tips dataset'!$E175</f>
        <v>3</v>
      </c>
      <c r="K175">
        <v>31.85</v>
      </c>
      <c r="L175">
        <v>3.18</v>
      </c>
      <c r="M175" s="12">
        <f t="shared" si="8"/>
        <v>9.9843014128728411E-2</v>
      </c>
      <c r="N175" s="11">
        <f t="shared" si="9"/>
        <v>10.616666666666667</v>
      </c>
      <c r="O175" s="11">
        <f t="shared" si="10"/>
        <v>1.06</v>
      </c>
      <c r="P175">
        <f>IF('tips dataset'!$C175="thur",1,0)</f>
        <v>1</v>
      </c>
      <c r="Q175" t="str">
        <f t="shared" si="11"/>
        <v>High</v>
      </c>
    </row>
    <row r="176" spans="1:17" x14ac:dyDescent="0.3">
      <c r="A176">
        <f>IF('tips dataset'!$A176="Male",1,0)</f>
        <v>1</v>
      </c>
      <c r="B176">
        <f>IF('tips dataset'!$A176="Female",1,0)</f>
        <v>0</v>
      </c>
      <c r="C176">
        <f>IF('tips dataset'!$B176="Yes",1,0)</f>
        <v>1</v>
      </c>
      <c r="D176">
        <f>IF('tips dataset'!$B176="No",1,0)</f>
        <v>0</v>
      </c>
      <c r="E176">
        <f>IF('tips dataset'!$C176="Sat",1,0)</f>
        <v>0</v>
      </c>
      <c r="F176">
        <f>IF('tips dataset'!$C176="fri",1,0)</f>
        <v>0</v>
      </c>
      <c r="G176">
        <f>IF('tips dataset'!$C176="Sun",1,0)</f>
        <v>1</v>
      </c>
      <c r="H176">
        <f>IF('tips dataset'!$D176="Lunch",1,0)</f>
        <v>0</v>
      </c>
      <c r="I176">
        <f>IF('tips dataset'!$D176="Dinner",1,0)</f>
        <v>1</v>
      </c>
      <c r="J176">
        <f>'tips dataset'!$E176</f>
        <v>3</v>
      </c>
      <c r="K176">
        <v>16.82</v>
      </c>
      <c r="L176">
        <v>4</v>
      </c>
      <c r="M176" s="12">
        <f t="shared" si="8"/>
        <v>0.23781212841854935</v>
      </c>
      <c r="N176" s="11">
        <f t="shared" si="9"/>
        <v>5.6066666666666665</v>
      </c>
      <c r="O176" s="11">
        <f t="shared" si="10"/>
        <v>1.3333333333333333</v>
      </c>
      <c r="P176">
        <f>IF('tips dataset'!$C176="thur",1,0)</f>
        <v>0</v>
      </c>
      <c r="Q176" t="str">
        <f t="shared" si="11"/>
        <v>Medium</v>
      </c>
    </row>
    <row r="177" spans="1:17" x14ac:dyDescent="0.3">
      <c r="A177">
        <f>IF('tips dataset'!$A177="Male",1,0)</f>
        <v>1</v>
      </c>
      <c r="B177">
        <f>IF('tips dataset'!$A177="Female",1,0)</f>
        <v>0</v>
      </c>
      <c r="C177">
        <f>IF('tips dataset'!$B177="Yes",1,0)</f>
        <v>1</v>
      </c>
      <c r="D177">
        <f>IF('tips dataset'!$B177="No",1,0)</f>
        <v>0</v>
      </c>
      <c r="E177">
        <f>IF('tips dataset'!$C177="Sat",1,0)</f>
        <v>0</v>
      </c>
      <c r="F177">
        <f>IF('tips dataset'!$C177="fri",1,0)</f>
        <v>0</v>
      </c>
      <c r="G177">
        <f>IF('tips dataset'!$C177="Sun",1,0)</f>
        <v>1</v>
      </c>
      <c r="H177">
        <f>IF('tips dataset'!$D177="Lunch",1,0)</f>
        <v>0</v>
      </c>
      <c r="I177">
        <f>IF('tips dataset'!$D177="Dinner",1,0)</f>
        <v>1</v>
      </c>
      <c r="J177">
        <f>'tips dataset'!$E177</f>
        <v>4</v>
      </c>
      <c r="K177">
        <v>32.9</v>
      </c>
      <c r="L177">
        <v>3.11</v>
      </c>
      <c r="M177" s="12">
        <f t="shared" si="8"/>
        <v>9.4528875379939203E-2</v>
      </c>
      <c r="N177" s="11">
        <f t="shared" si="9"/>
        <v>8.2249999999999996</v>
      </c>
      <c r="O177" s="11">
        <f t="shared" si="10"/>
        <v>0.77749999999999997</v>
      </c>
      <c r="P177">
        <f>IF('tips dataset'!$C177="thur",1,0)</f>
        <v>0</v>
      </c>
      <c r="Q177" t="str">
        <f t="shared" si="11"/>
        <v>High</v>
      </c>
    </row>
    <row r="178" spans="1:17" x14ac:dyDescent="0.3">
      <c r="A178">
        <f>IF('tips dataset'!$A178="Male",1,0)</f>
        <v>1</v>
      </c>
      <c r="B178">
        <f>IF('tips dataset'!$A178="Female",1,0)</f>
        <v>0</v>
      </c>
      <c r="C178">
        <f>IF('tips dataset'!$B178="Yes",1,0)</f>
        <v>1</v>
      </c>
      <c r="D178">
        <f>IF('tips dataset'!$B178="No",1,0)</f>
        <v>0</v>
      </c>
      <c r="E178">
        <f>IF('tips dataset'!$C178="Sat",1,0)</f>
        <v>0</v>
      </c>
      <c r="F178">
        <f>IF('tips dataset'!$C178="fri",1,0)</f>
        <v>0</v>
      </c>
      <c r="G178">
        <f>IF('tips dataset'!$C178="Sun",1,0)</f>
        <v>1</v>
      </c>
      <c r="H178">
        <f>IF('tips dataset'!$D178="Lunch",1,0)</f>
        <v>0</v>
      </c>
      <c r="I178">
        <f>IF('tips dataset'!$D178="Dinner",1,0)</f>
        <v>1</v>
      </c>
      <c r="J178">
        <f>'tips dataset'!$E178</f>
        <v>2</v>
      </c>
      <c r="K178">
        <v>17.89</v>
      </c>
      <c r="L178">
        <v>2</v>
      </c>
      <c r="M178" s="12">
        <f t="shared" si="8"/>
        <v>0.11179429849077696</v>
      </c>
      <c r="N178" s="11">
        <f t="shared" si="9"/>
        <v>8.9450000000000003</v>
      </c>
      <c r="O178" s="11">
        <f t="shared" si="10"/>
        <v>1</v>
      </c>
      <c r="P178">
        <f>IF('tips dataset'!$C178="thur",1,0)</f>
        <v>0</v>
      </c>
      <c r="Q178" t="str">
        <f t="shared" si="11"/>
        <v>Medium</v>
      </c>
    </row>
    <row r="179" spans="1:17" x14ac:dyDescent="0.3">
      <c r="A179">
        <f>IF('tips dataset'!$A179="Male",1,0)</f>
        <v>1</v>
      </c>
      <c r="B179">
        <f>IF('tips dataset'!$A179="Female",1,0)</f>
        <v>0</v>
      </c>
      <c r="C179">
        <f>IF('tips dataset'!$B179="Yes",1,0)</f>
        <v>0</v>
      </c>
      <c r="D179">
        <f>IF('tips dataset'!$B179="No",1,0)</f>
        <v>1</v>
      </c>
      <c r="E179">
        <f>IF('tips dataset'!$C179="Sat",1,0)</f>
        <v>0</v>
      </c>
      <c r="F179">
        <f>IF('tips dataset'!$C179="fri",1,0)</f>
        <v>0</v>
      </c>
      <c r="G179">
        <f>IF('tips dataset'!$C179="Sun",1,0)</f>
        <v>1</v>
      </c>
      <c r="H179">
        <f>IF('tips dataset'!$D179="Lunch",1,0)</f>
        <v>0</v>
      </c>
      <c r="I179">
        <f>IF('tips dataset'!$D179="Dinner",1,0)</f>
        <v>1</v>
      </c>
      <c r="J179">
        <f>'tips dataset'!$E179</f>
        <v>2</v>
      </c>
      <c r="K179">
        <v>14.48</v>
      </c>
      <c r="L179">
        <v>2</v>
      </c>
      <c r="M179" s="12">
        <f t="shared" si="8"/>
        <v>0.13812154696132597</v>
      </c>
      <c r="N179" s="11">
        <f t="shared" si="9"/>
        <v>7.24</v>
      </c>
      <c r="O179" s="11">
        <f t="shared" si="10"/>
        <v>1</v>
      </c>
      <c r="P179">
        <f>IF('tips dataset'!$C179="thur",1,0)</f>
        <v>0</v>
      </c>
      <c r="Q179" t="str">
        <f t="shared" si="11"/>
        <v>Low</v>
      </c>
    </row>
    <row r="180" spans="1:17" x14ac:dyDescent="0.3">
      <c r="A180">
        <f>IF('tips dataset'!$A180="Male",1,0)</f>
        <v>1</v>
      </c>
      <c r="B180">
        <f>IF('tips dataset'!$A180="Female",1,0)</f>
        <v>0</v>
      </c>
      <c r="C180">
        <f>IF('tips dataset'!$B180="Yes",1,0)</f>
        <v>0</v>
      </c>
      <c r="D180">
        <f>IF('tips dataset'!$B180="No",1,0)</f>
        <v>1</v>
      </c>
      <c r="E180">
        <f>IF('tips dataset'!$C180="Sat",1,0)</f>
        <v>0</v>
      </c>
      <c r="F180">
        <f>IF('tips dataset'!$C180="fri",1,0)</f>
        <v>0</v>
      </c>
      <c r="G180">
        <f>IF('tips dataset'!$C180="Sun",1,0)</f>
        <v>1</v>
      </c>
      <c r="H180">
        <f>IF('tips dataset'!$D180="Lunch",1,0)</f>
        <v>0</v>
      </c>
      <c r="I180">
        <f>IF('tips dataset'!$D180="Dinner",1,0)</f>
        <v>1</v>
      </c>
      <c r="J180">
        <f>'tips dataset'!$E180</f>
        <v>2</v>
      </c>
      <c r="K180">
        <v>9.6</v>
      </c>
      <c r="L180">
        <v>4</v>
      </c>
      <c r="M180" s="12">
        <f t="shared" si="8"/>
        <v>0.41666666666666669</v>
      </c>
      <c r="N180" s="11">
        <f t="shared" si="9"/>
        <v>4.8</v>
      </c>
      <c r="O180" s="11">
        <f t="shared" si="10"/>
        <v>2</v>
      </c>
      <c r="P180">
        <f>IF('tips dataset'!$C180="thur",1,0)</f>
        <v>0</v>
      </c>
      <c r="Q180" t="str">
        <f t="shared" si="11"/>
        <v>Low</v>
      </c>
    </row>
    <row r="181" spans="1:17" x14ac:dyDescent="0.3">
      <c r="A181">
        <f>IF('tips dataset'!$A181="Male",1,0)</f>
        <v>1</v>
      </c>
      <c r="B181">
        <f>IF('tips dataset'!$A181="Female",1,0)</f>
        <v>0</v>
      </c>
      <c r="C181">
        <f>IF('tips dataset'!$B181="Yes",1,0)</f>
        <v>1</v>
      </c>
      <c r="D181">
        <f>IF('tips dataset'!$B181="No",1,0)</f>
        <v>0</v>
      </c>
      <c r="E181">
        <f>IF('tips dataset'!$C181="Sat",1,0)</f>
        <v>1</v>
      </c>
      <c r="F181">
        <f>IF('tips dataset'!$C181="fri",1,0)</f>
        <v>0</v>
      </c>
      <c r="G181">
        <f>IF('tips dataset'!$C181="Sun",1,0)</f>
        <v>0</v>
      </c>
      <c r="H181">
        <f>IF('tips dataset'!$D181="Lunch",1,0)</f>
        <v>0</v>
      </c>
      <c r="I181">
        <f>IF('tips dataset'!$D181="Dinner",1,0)</f>
        <v>1</v>
      </c>
      <c r="J181">
        <f>'tips dataset'!$E181</f>
        <v>4</v>
      </c>
      <c r="K181">
        <v>34.630000000000003</v>
      </c>
      <c r="L181">
        <v>3.55</v>
      </c>
      <c r="M181" s="12">
        <f t="shared" si="8"/>
        <v>0.102512272596015</v>
      </c>
      <c r="N181" s="11">
        <f t="shared" si="9"/>
        <v>8.6575000000000006</v>
      </c>
      <c r="O181" s="11">
        <f t="shared" si="10"/>
        <v>0.88749999999999996</v>
      </c>
      <c r="P181">
        <f>IF('tips dataset'!$C181="thur",1,0)</f>
        <v>0</v>
      </c>
      <c r="Q181" t="str">
        <f t="shared" si="11"/>
        <v>High</v>
      </c>
    </row>
    <row r="182" spans="1:17" x14ac:dyDescent="0.3">
      <c r="A182">
        <f>IF('tips dataset'!$A182="Male",1,0)</f>
        <v>1</v>
      </c>
      <c r="B182">
        <f>IF('tips dataset'!$A182="Female",1,0)</f>
        <v>0</v>
      </c>
      <c r="C182">
        <f>IF('tips dataset'!$B182="Yes",1,0)</f>
        <v>0</v>
      </c>
      <c r="D182">
        <f>IF('tips dataset'!$B182="No",1,0)</f>
        <v>1</v>
      </c>
      <c r="E182">
        <f>IF('tips dataset'!$C182="Sat",1,0)</f>
        <v>1</v>
      </c>
      <c r="F182">
        <f>IF('tips dataset'!$C182="fri",1,0)</f>
        <v>0</v>
      </c>
      <c r="G182">
        <f>IF('tips dataset'!$C182="Sun",1,0)</f>
        <v>0</v>
      </c>
      <c r="H182">
        <f>IF('tips dataset'!$D182="Lunch",1,0)</f>
        <v>0</v>
      </c>
      <c r="I182">
        <f>IF('tips dataset'!$D182="Dinner",1,0)</f>
        <v>1</v>
      </c>
      <c r="J182">
        <f>'tips dataset'!$E182</f>
        <v>3</v>
      </c>
      <c r="K182">
        <v>34.65</v>
      </c>
      <c r="L182">
        <v>3.68</v>
      </c>
      <c r="M182" s="12">
        <f t="shared" si="8"/>
        <v>0.10620490620490622</v>
      </c>
      <c r="N182" s="11">
        <f t="shared" si="9"/>
        <v>11.549999999999999</v>
      </c>
      <c r="O182" s="11">
        <f t="shared" si="10"/>
        <v>1.2266666666666668</v>
      </c>
      <c r="P182">
        <f>IF('tips dataset'!$C182="thur",1,0)</f>
        <v>0</v>
      </c>
      <c r="Q182" t="str">
        <f t="shared" si="11"/>
        <v>High</v>
      </c>
    </row>
    <row r="183" spans="1:17" x14ac:dyDescent="0.3">
      <c r="A183">
        <f>IF('tips dataset'!$A183="Male",1,0)</f>
        <v>0</v>
      </c>
      <c r="B183">
        <f>IF('tips dataset'!$A183="Female",1,0)</f>
        <v>1</v>
      </c>
      <c r="C183">
        <f>IF('tips dataset'!$B183="Yes",1,0)</f>
        <v>0</v>
      </c>
      <c r="D183">
        <f>IF('tips dataset'!$B183="No",1,0)</f>
        <v>1</v>
      </c>
      <c r="E183">
        <f>IF('tips dataset'!$C183="Sat",1,0)</f>
        <v>0</v>
      </c>
      <c r="F183">
        <f>IF('tips dataset'!$C183="fri",1,0)</f>
        <v>0</v>
      </c>
      <c r="G183">
        <f>IF('tips dataset'!$C183="Sun",1,0)</f>
        <v>0</v>
      </c>
      <c r="H183">
        <f>IF('tips dataset'!$D183="Lunch",1,0)</f>
        <v>1</v>
      </c>
      <c r="I183">
        <f>IF('tips dataset'!$D183="Dinner",1,0)</f>
        <v>0</v>
      </c>
      <c r="J183">
        <f>'tips dataset'!$E183</f>
        <v>4</v>
      </c>
      <c r="K183">
        <v>23.33</v>
      </c>
      <c r="L183">
        <v>5.65</v>
      </c>
      <c r="M183" s="12">
        <f t="shared" si="8"/>
        <v>0.24217745392198889</v>
      </c>
      <c r="N183" s="11">
        <f t="shared" si="9"/>
        <v>5.8324999999999996</v>
      </c>
      <c r="O183" s="11">
        <f t="shared" si="10"/>
        <v>1.4125000000000001</v>
      </c>
      <c r="P183">
        <f>IF('tips dataset'!$C183="thur",1,0)</f>
        <v>1</v>
      </c>
      <c r="Q183" t="str">
        <f t="shared" si="11"/>
        <v>Medium</v>
      </c>
    </row>
    <row r="184" spans="1:17" x14ac:dyDescent="0.3">
      <c r="A184">
        <f>IF('tips dataset'!$A184="Male",1,0)</f>
        <v>1</v>
      </c>
      <c r="B184">
        <f>IF('tips dataset'!$A184="Female",1,0)</f>
        <v>0</v>
      </c>
      <c r="C184">
        <f>IF('tips dataset'!$B184="Yes",1,0)</f>
        <v>1</v>
      </c>
      <c r="D184">
        <f>IF('tips dataset'!$B184="No",1,0)</f>
        <v>0</v>
      </c>
      <c r="E184">
        <f>IF('tips dataset'!$C184="Sat",1,0)</f>
        <v>1</v>
      </c>
      <c r="F184">
        <f>IF('tips dataset'!$C184="fri",1,0)</f>
        <v>0</v>
      </c>
      <c r="G184">
        <f>IF('tips dataset'!$C184="Sun",1,0)</f>
        <v>0</v>
      </c>
      <c r="H184">
        <f>IF('tips dataset'!$D184="Lunch",1,0)</f>
        <v>0</v>
      </c>
      <c r="I184">
        <f>IF('tips dataset'!$D184="Dinner",1,0)</f>
        <v>1</v>
      </c>
      <c r="J184">
        <f>'tips dataset'!$E184</f>
        <v>2</v>
      </c>
      <c r="K184">
        <v>45.35</v>
      </c>
      <c r="L184">
        <v>3.5</v>
      </c>
      <c r="M184" s="12">
        <f t="shared" si="8"/>
        <v>7.7177508269018744E-2</v>
      </c>
      <c r="N184" s="11">
        <f t="shared" si="9"/>
        <v>22.675000000000001</v>
      </c>
      <c r="O184" s="11">
        <f t="shared" si="10"/>
        <v>1.75</v>
      </c>
      <c r="P184">
        <f>IF('tips dataset'!$C184="thur",1,0)</f>
        <v>0</v>
      </c>
      <c r="Q184" t="str">
        <f t="shared" si="11"/>
        <v>Premium</v>
      </c>
    </row>
    <row r="185" spans="1:17" x14ac:dyDescent="0.3">
      <c r="A185">
        <f>IF('tips dataset'!$A185="Male",1,0)</f>
        <v>1</v>
      </c>
      <c r="B185">
        <f>IF('tips dataset'!$A185="Female",1,0)</f>
        <v>0</v>
      </c>
      <c r="C185">
        <f>IF('tips dataset'!$B185="Yes",1,0)</f>
        <v>0</v>
      </c>
      <c r="D185">
        <f>IF('tips dataset'!$B185="No",1,0)</f>
        <v>1</v>
      </c>
      <c r="E185">
        <f>IF('tips dataset'!$C185="Sat",1,0)</f>
        <v>0</v>
      </c>
      <c r="F185">
        <f>IF('tips dataset'!$C185="fri",1,0)</f>
        <v>0</v>
      </c>
      <c r="G185">
        <f>IF('tips dataset'!$C185="Sun",1,0)</f>
        <v>1</v>
      </c>
      <c r="H185">
        <f>IF('tips dataset'!$D185="Lunch",1,0)</f>
        <v>0</v>
      </c>
      <c r="I185">
        <f>IF('tips dataset'!$D185="Dinner",1,0)</f>
        <v>1</v>
      </c>
      <c r="J185">
        <f>'tips dataset'!$E185</f>
        <v>3</v>
      </c>
      <c r="K185">
        <v>23.17</v>
      </c>
      <c r="L185">
        <v>6.5</v>
      </c>
      <c r="M185" s="12">
        <f t="shared" si="8"/>
        <v>0.28053517479499351</v>
      </c>
      <c r="N185" s="11">
        <f t="shared" si="9"/>
        <v>7.7233333333333336</v>
      </c>
      <c r="O185" s="11">
        <f t="shared" si="10"/>
        <v>2.1666666666666665</v>
      </c>
      <c r="P185">
        <f>IF('tips dataset'!$C185="thur",1,0)</f>
        <v>0</v>
      </c>
      <c r="Q185" t="str">
        <f t="shared" si="11"/>
        <v>Medium</v>
      </c>
    </row>
    <row r="186" spans="1:17" x14ac:dyDescent="0.3">
      <c r="A186">
        <f>IF('tips dataset'!$A186="Male",1,0)</f>
        <v>1</v>
      </c>
      <c r="B186">
        <f>IF('tips dataset'!$A186="Female",1,0)</f>
        <v>0</v>
      </c>
      <c r="C186">
        <f>IF('tips dataset'!$B186="Yes",1,0)</f>
        <v>0</v>
      </c>
      <c r="D186">
        <f>IF('tips dataset'!$B186="No",1,0)</f>
        <v>1</v>
      </c>
      <c r="E186">
        <f>IF('tips dataset'!$C186="Sat",1,0)</f>
        <v>0</v>
      </c>
      <c r="F186">
        <f>IF('tips dataset'!$C186="fri",1,0)</f>
        <v>0</v>
      </c>
      <c r="G186">
        <f>IF('tips dataset'!$C186="Sun",1,0)</f>
        <v>1</v>
      </c>
      <c r="H186">
        <f>IF('tips dataset'!$D186="Lunch",1,0)</f>
        <v>0</v>
      </c>
      <c r="I186">
        <f>IF('tips dataset'!$D186="Dinner",1,0)</f>
        <v>1</v>
      </c>
      <c r="J186">
        <f>'tips dataset'!$E186</f>
        <v>4</v>
      </c>
      <c r="K186">
        <v>40.549999999999997</v>
      </c>
      <c r="L186">
        <v>3</v>
      </c>
      <c r="M186" s="12">
        <f t="shared" si="8"/>
        <v>7.3982737361282372E-2</v>
      </c>
      <c r="N186" s="11">
        <f t="shared" si="9"/>
        <v>10.137499999999999</v>
      </c>
      <c r="O186" s="11">
        <f t="shared" si="10"/>
        <v>0.75</v>
      </c>
      <c r="P186">
        <f>IF('tips dataset'!$C186="thur",1,0)</f>
        <v>0</v>
      </c>
      <c r="Q186" t="str">
        <f t="shared" si="11"/>
        <v>Premium</v>
      </c>
    </row>
    <row r="187" spans="1:17" x14ac:dyDescent="0.3">
      <c r="A187">
        <f>IF('tips dataset'!$A187="Male",1,0)</f>
        <v>0</v>
      </c>
      <c r="B187">
        <f>IF('tips dataset'!$A187="Female",1,0)</f>
        <v>1</v>
      </c>
      <c r="C187">
        <f>IF('tips dataset'!$B187="Yes",1,0)</f>
        <v>0</v>
      </c>
      <c r="D187">
        <f>IF('tips dataset'!$B187="No",1,0)</f>
        <v>1</v>
      </c>
      <c r="E187">
        <f>IF('tips dataset'!$C187="Sat",1,0)</f>
        <v>0</v>
      </c>
      <c r="F187">
        <f>IF('tips dataset'!$C187="fri",1,0)</f>
        <v>0</v>
      </c>
      <c r="G187">
        <f>IF('tips dataset'!$C187="Sun",1,0)</f>
        <v>1</v>
      </c>
      <c r="H187">
        <f>IF('tips dataset'!$D187="Lunch",1,0)</f>
        <v>0</v>
      </c>
      <c r="I187">
        <f>IF('tips dataset'!$D187="Dinner",1,0)</f>
        <v>1</v>
      </c>
      <c r="J187">
        <f>'tips dataset'!$E187</f>
        <v>4</v>
      </c>
      <c r="K187">
        <v>20.69</v>
      </c>
      <c r="L187">
        <v>5</v>
      </c>
      <c r="M187" s="12">
        <f t="shared" si="8"/>
        <v>0.24166263895601739</v>
      </c>
      <c r="N187" s="11">
        <f t="shared" si="9"/>
        <v>5.1725000000000003</v>
      </c>
      <c r="O187" s="11">
        <f t="shared" si="10"/>
        <v>1.25</v>
      </c>
      <c r="P187">
        <f>IF('tips dataset'!$C187="thur",1,0)</f>
        <v>0</v>
      </c>
      <c r="Q187" t="str">
        <f t="shared" si="11"/>
        <v>Medium</v>
      </c>
    </row>
    <row r="188" spans="1:17" x14ac:dyDescent="0.3">
      <c r="A188">
        <f>IF('tips dataset'!$A188="Male",1,0)</f>
        <v>1</v>
      </c>
      <c r="B188">
        <f>IF('tips dataset'!$A188="Female",1,0)</f>
        <v>0</v>
      </c>
      <c r="C188">
        <f>IF('tips dataset'!$B188="Yes",1,0)</f>
        <v>0</v>
      </c>
      <c r="D188">
        <f>IF('tips dataset'!$B188="No",1,0)</f>
        <v>1</v>
      </c>
      <c r="E188">
        <f>IF('tips dataset'!$C188="Sat",1,0)</f>
        <v>0</v>
      </c>
      <c r="F188">
        <f>IF('tips dataset'!$C188="fri",1,0)</f>
        <v>0</v>
      </c>
      <c r="G188">
        <f>IF('tips dataset'!$C188="Sun",1,0)</f>
        <v>0</v>
      </c>
      <c r="H188">
        <f>IF('tips dataset'!$D188="Lunch",1,0)</f>
        <v>1</v>
      </c>
      <c r="I188">
        <f>IF('tips dataset'!$D188="Dinner",1,0)</f>
        <v>0</v>
      </c>
      <c r="J188">
        <f>'tips dataset'!$E188</f>
        <v>2</v>
      </c>
      <c r="K188">
        <v>20.9</v>
      </c>
      <c r="L188">
        <v>3.5</v>
      </c>
      <c r="M188" s="12">
        <f t="shared" si="8"/>
        <v>0.1674641148325359</v>
      </c>
      <c r="N188" s="11">
        <f t="shared" si="9"/>
        <v>10.45</v>
      </c>
      <c r="O188" s="11">
        <f t="shared" si="10"/>
        <v>1.75</v>
      </c>
      <c r="P188">
        <f>IF('tips dataset'!$C188="thur",1,0)</f>
        <v>1</v>
      </c>
      <c r="Q188" t="str">
        <f t="shared" si="11"/>
        <v>Medium</v>
      </c>
    </row>
    <row r="189" spans="1:17" x14ac:dyDescent="0.3">
      <c r="A189">
        <f>IF('tips dataset'!$A189="Male",1,0)</f>
        <v>0</v>
      </c>
      <c r="B189">
        <f>IF('tips dataset'!$A189="Female",1,0)</f>
        <v>1</v>
      </c>
      <c r="C189">
        <f>IF('tips dataset'!$B189="Yes",1,0)</f>
        <v>0</v>
      </c>
      <c r="D189">
        <f>IF('tips dataset'!$B189="No",1,0)</f>
        <v>1</v>
      </c>
      <c r="E189">
        <f>IF('tips dataset'!$C189="Sat",1,0)</f>
        <v>0</v>
      </c>
      <c r="F189">
        <f>IF('tips dataset'!$C189="fri",1,0)</f>
        <v>0</v>
      </c>
      <c r="G189">
        <f>IF('tips dataset'!$C189="Sun",1,0)</f>
        <v>1</v>
      </c>
      <c r="H189">
        <f>IF('tips dataset'!$D189="Lunch",1,0)</f>
        <v>0</v>
      </c>
      <c r="I189">
        <f>IF('tips dataset'!$D189="Dinner",1,0)</f>
        <v>1</v>
      </c>
      <c r="J189">
        <f>'tips dataset'!$E189</f>
        <v>4</v>
      </c>
      <c r="K189">
        <v>30.46</v>
      </c>
      <c r="L189">
        <v>2</v>
      </c>
      <c r="M189" s="12">
        <f t="shared" si="8"/>
        <v>6.5659881812212731E-2</v>
      </c>
      <c r="N189" s="11">
        <f t="shared" si="9"/>
        <v>7.6150000000000002</v>
      </c>
      <c r="O189" s="11">
        <f t="shared" si="10"/>
        <v>0.5</v>
      </c>
      <c r="P189">
        <f>IF('tips dataset'!$C189="thur",1,0)</f>
        <v>0</v>
      </c>
      <c r="Q189" t="str">
        <f t="shared" si="11"/>
        <v>High</v>
      </c>
    </row>
    <row r="190" spans="1:17" x14ac:dyDescent="0.3">
      <c r="A190">
        <f>IF('tips dataset'!$A190="Male",1,0)</f>
        <v>1</v>
      </c>
      <c r="B190">
        <f>IF('tips dataset'!$A190="Female",1,0)</f>
        <v>0</v>
      </c>
      <c r="C190">
        <f>IF('tips dataset'!$B190="Yes",1,0)</f>
        <v>1</v>
      </c>
      <c r="D190">
        <f>IF('tips dataset'!$B190="No",1,0)</f>
        <v>0</v>
      </c>
      <c r="E190">
        <f>IF('tips dataset'!$C190="Sat",1,0)</f>
        <v>1</v>
      </c>
      <c r="F190">
        <f>IF('tips dataset'!$C190="fri",1,0)</f>
        <v>0</v>
      </c>
      <c r="G190">
        <f>IF('tips dataset'!$C190="Sun",1,0)</f>
        <v>0</v>
      </c>
      <c r="H190">
        <f>IF('tips dataset'!$D190="Lunch",1,0)</f>
        <v>0</v>
      </c>
      <c r="I190">
        <f>IF('tips dataset'!$D190="Dinner",1,0)</f>
        <v>1</v>
      </c>
      <c r="J190">
        <f>'tips dataset'!$E190</f>
        <v>2</v>
      </c>
      <c r="K190">
        <v>18.149999999999999</v>
      </c>
      <c r="L190">
        <v>3.5</v>
      </c>
      <c r="M190" s="12">
        <f t="shared" si="8"/>
        <v>0.1928374655647383</v>
      </c>
      <c r="N190" s="11">
        <f t="shared" si="9"/>
        <v>9.0749999999999993</v>
      </c>
      <c r="O190" s="11">
        <f t="shared" si="10"/>
        <v>1.75</v>
      </c>
      <c r="P190">
        <f>IF('tips dataset'!$C190="thur",1,0)</f>
        <v>0</v>
      </c>
      <c r="Q190" t="str">
        <f t="shared" si="11"/>
        <v>Medium</v>
      </c>
    </row>
    <row r="191" spans="1:17" x14ac:dyDescent="0.3">
      <c r="A191">
        <f>IF('tips dataset'!$A191="Male",1,0)</f>
        <v>0</v>
      </c>
      <c r="B191">
        <f>IF('tips dataset'!$A191="Female",1,0)</f>
        <v>1</v>
      </c>
      <c r="C191">
        <f>IF('tips dataset'!$B191="Yes",1,0)</f>
        <v>1</v>
      </c>
      <c r="D191">
        <f>IF('tips dataset'!$B191="No",1,0)</f>
        <v>0</v>
      </c>
      <c r="E191">
        <f>IF('tips dataset'!$C191="Sat",1,0)</f>
        <v>1</v>
      </c>
      <c r="F191">
        <f>IF('tips dataset'!$C191="fri",1,0)</f>
        <v>0</v>
      </c>
      <c r="G191">
        <f>IF('tips dataset'!$C191="Sun",1,0)</f>
        <v>0</v>
      </c>
      <c r="H191">
        <f>IF('tips dataset'!$D191="Lunch",1,0)</f>
        <v>0</v>
      </c>
      <c r="I191">
        <f>IF('tips dataset'!$D191="Dinner",1,0)</f>
        <v>1</v>
      </c>
      <c r="J191">
        <f>'tips dataset'!$E191</f>
        <v>2</v>
      </c>
      <c r="K191">
        <v>23.1</v>
      </c>
      <c r="L191">
        <v>4</v>
      </c>
      <c r="M191" s="12">
        <f t="shared" si="8"/>
        <v>0.17316017316017315</v>
      </c>
      <c r="N191" s="11">
        <f t="shared" si="9"/>
        <v>11.55</v>
      </c>
      <c r="O191" s="11">
        <f t="shared" si="10"/>
        <v>2</v>
      </c>
      <c r="P191">
        <f>IF('tips dataset'!$C191="thur",1,0)</f>
        <v>0</v>
      </c>
      <c r="Q191" t="str">
        <f t="shared" si="11"/>
        <v>Medium</v>
      </c>
    </row>
    <row r="192" spans="1:17" x14ac:dyDescent="0.3">
      <c r="A192">
        <f>IF('tips dataset'!$A192="Male",1,0)</f>
        <v>1</v>
      </c>
      <c r="B192">
        <f>IF('tips dataset'!$A192="Female",1,0)</f>
        <v>0</v>
      </c>
      <c r="C192">
        <f>IF('tips dataset'!$B192="Yes",1,0)</f>
        <v>0</v>
      </c>
      <c r="D192">
        <f>IF('tips dataset'!$B192="No",1,0)</f>
        <v>1</v>
      </c>
      <c r="E192">
        <f>IF('tips dataset'!$C192="Sat",1,0)</f>
        <v>0</v>
      </c>
      <c r="F192">
        <f>IF('tips dataset'!$C192="fri",1,0)</f>
        <v>0</v>
      </c>
      <c r="G192">
        <f>IF('tips dataset'!$C192="Sun",1,0)</f>
        <v>1</v>
      </c>
      <c r="H192">
        <f>IF('tips dataset'!$D192="Lunch",1,0)</f>
        <v>0</v>
      </c>
      <c r="I192">
        <f>IF('tips dataset'!$D192="Dinner",1,0)</f>
        <v>1</v>
      </c>
      <c r="J192">
        <f>'tips dataset'!$E192</f>
        <v>4</v>
      </c>
      <c r="K192">
        <v>15.69</v>
      </c>
      <c r="L192">
        <v>1.5</v>
      </c>
      <c r="M192" s="12">
        <f t="shared" si="8"/>
        <v>9.5602294455066919E-2</v>
      </c>
      <c r="N192" s="11">
        <f t="shared" si="9"/>
        <v>3.9224999999999999</v>
      </c>
      <c r="O192" s="11">
        <f t="shared" si="10"/>
        <v>0.375</v>
      </c>
      <c r="P192">
        <f>IF('tips dataset'!$C192="thur",1,0)</f>
        <v>0</v>
      </c>
      <c r="Q192" t="str">
        <f t="shared" si="11"/>
        <v>Medium</v>
      </c>
    </row>
    <row r="193" spans="1:17" x14ac:dyDescent="0.3">
      <c r="A193">
        <f>IF('tips dataset'!$A193="Male",1,0)</f>
        <v>1</v>
      </c>
      <c r="B193">
        <f>IF('tips dataset'!$A193="Female",1,0)</f>
        <v>0</v>
      </c>
      <c r="C193">
        <f>IF('tips dataset'!$B193="Yes",1,0)</f>
        <v>0</v>
      </c>
      <c r="D193">
        <f>IF('tips dataset'!$B193="No",1,0)</f>
        <v>1</v>
      </c>
      <c r="E193">
        <f>IF('tips dataset'!$C193="Sat",1,0)</f>
        <v>0</v>
      </c>
      <c r="F193">
        <f>IF('tips dataset'!$C193="fri",1,0)</f>
        <v>0</v>
      </c>
      <c r="G193">
        <f>IF('tips dataset'!$C193="Sun",1,0)</f>
        <v>1</v>
      </c>
      <c r="H193">
        <f>IF('tips dataset'!$D193="Lunch",1,0)</f>
        <v>0</v>
      </c>
      <c r="I193">
        <f>IF('tips dataset'!$D193="Dinner",1,0)</f>
        <v>1</v>
      </c>
      <c r="J193">
        <f>'tips dataset'!$E193</f>
        <v>4</v>
      </c>
      <c r="K193">
        <v>19.809999999999999</v>
      </c>
      <c r="L193">
        <v>4.1900000000000004</v>
      </c>
      <c r="M193" s="12">
        <f t="shared" si="8"/>
        <v>0.21150933871781932</v>
      </c>
      <c r="N193" s="11">
        <f t="shared" si="9"/>
        <v>4.9524999999999997</v>
      </c>
      <c r="O193" s="11">
        <f t="shared" si="10"/>
        <v>1.0475000000000001</v>
      </c>
      <c r="P193">
        <f>IF('tips dataset'!$C193="thur",1,0)</f>
        <v>0</v>
      </c>
      <c r="Q193" t="str">
        <f t="shared" si="11"/>
        <v>Medium</v>
      </c>
    </row>
    <row r="194" spans="1:17" x14ac:dyDescent="0.3">
      <c r="A194">
        <f>IF('tips dataset'!$A194="Male",1,0)</f>
        <v>0</v>
      </c>
      <c r="B194">
        <f>IF('tips dataset'!$A194="Female",1,0)</f>
        <v>1</v>
      </c>
      <c r="C194">
        <f>IF('tips dataset'!$B194="Yes",1,0)</f>
        <v>0</v>
      </c>
      <c r="D194">
        <f>IF('tips dataset'!$B194="No",1,0)</f>
        <v>1</v>
      </c>
      <c r="E194">
        <f>IF('tips dataset'!$C194="Sat",1,0)</f>
        <v>0</v>
      </c>
      <c r="F194">
        <f>IF('tips dataset'!$C194="fri",1,0)</f>
        <v>0</v>
      </c>
      <c r="G194">
        <f>IF('tips dataset'!$C194="Sun",1,0)</f>
        <v>1</v>
      </c>
      <c r="H194">
        <f>IF('tips dataset'!$D194="Lunch",1,0)</f>
        <v>0</v>
      </c>
      <c r="I194">
        <f>IF('tips dataset'!$D194="Dinner",1,0)</f>
        <v>1</v>
      </c>
      <c r="J194">
        <f>'tips dataset'!$E194</f>
        <v>3</v>
      </c>
      <c r="K194">
        <v>28.44</v>
      </c>
      <c r="L194">
        <v>2.56</v>
      </c>
      <c r="M194" s="12">
        <f t="shared" si="8"/>
        <v>9.0014064697609003E-2</v>
      </c>
      <c r="N194" s="11">
        <f t="shared" si="9"/>
        <v>9.48</v>
      </c>
      <c r="O194" s="11">
        <f t="shared" si="10"/>
        <v>0.85333333333333339</v>
      </c>
      <c r="P194">
        <f>IF('tips dataset'!$C194="thur",1,0)</f>
        <v>0</v>
      </c>
      <c r="Q194" t="str">
        <f t="shared" si="11"/>
        <v>High</v>
      </c>
    </row>
    <row r="195" spans="1:17" x14ac:dyDescent="0.3">
      <c r="A195">
        <f>IF('tips dataset'!$A195="Male",1,0)</f>
        <v>1</v>
      </c>
      <c r="B195">
        <f>IF('tips dataset'!$A195="Female",1,0)</f>
        <v>0</v>
      </c>
      <c r="C195">
        <f>IF('tips dataset'!$B195="Yes",1,0)</f>
        <v>1</v>
      </c>
      <c r="D195">
        <f>IF('tips dataset'!$B195="No",1,0)</f>
        <v>0</v>
      </c>
      <c r="E195">
        <f>IF('tips dataset'!$C195="Sat",1,0)</f>
        <v>1</v>
      </c>
      <c r="F195">
        <f>IF('tips dataset'!$C195="fri",1,0)</f>
        <v>0</v>
      </c>
      <c r="G195">
        <f>IF('tips dataset'!$C195="Sun",1,0)</f>
        <v>0</v>
      </c>
      <c r="H195">
        <f>IF('tips dataset'!$D195="Lunch",1,0)</f>
        <v>0</v>
      </c>
      <c r="I195">
        <f>IF('tips dataset'!$D195="Dinner",1,0)</f>
        <v>1</v>
      </c>
      <c r="J195">
        <f>'tips dataset'!$E195</f>
        <v>4</v>
      </c>
      <c r="K195">
        <v>15.48</v>
      </c>
      <c r="L195">
        <v>2.02</v>
      </c>
      <c r="M195" s="12">
        <f t="shared" ref="M195:M244" si="12">L195/K195</f>
        <v>0.13049095607235142</v>
      </c>
      <c r="N195" s="11">
        <f t="shared" ref="N195:N244" si="13">K195/J195</f>
        <v>3.87</v>
      </c>
      <c r="O195" s="11">
        <f t="shared" ref="O195:O244" si="14">L195/J195</f>
        <v>0.505</v>
      </c>
      <c r="P195">
        <f>IF('tips dataset'!$C195="thur",1,0)</f>
        <v>0</v>
      </c>
      <c r="Q195" t="str">
        <f t="shared" ref="Q195:Q244" si="15">IF(K195&lt;15,"Low",IF(K195&lt;25,"Medium",IF(K195&lt;35,"High","Premium")))</f>
        <v>Medium</v>
      </c>
    </row>
    <row r="196" spans="1:17" x14ac:dyDescent="0.3">
      <c r="A196">
        <f>IF('tips dataset'!$A196="Male",1,0)</f>
        <v>0</v>
      </c>
      <c r="B196">
        <f>IF('tips dataset'!$A196="Female",1,0)</f>
        <v>1</v>
      </c>
      <c r="C196">
        <f>IF('tips dataset'!$B196="Yes",1,0)</f>
        <v>0</v>
      </c>
      <c r="D196">
        <f>IF('tips dataset'!$B196="No",1,0)</f>
        <v>1</v>
      </c>
      <c r="E196">
        <f>IF('tips dataset'!$C196="Sat",1,0)</f>
        <v>1</v>
      </c>
      <c r="F196">
        <f>IF('tips dataset'!$C196="fri",1,0)</f>
        <v>0</v>
      </c>
      <c r="G196">
        <f>IF('tips dataset'!$C196="Sun",1,0)</f>
        <v>0</v>
      </c>
      <c r="H196">
        <f>IF('tips dataset'!$D196="Lunch",1,0)</f>
        <v>0</v>
      </c>
      <c r="I196">
        <f>IF('tips dataset'!$D196="Dinner",1,0)</f>
        <v>1</v>
      </c>
      <c r="J196">
        <f>'tips dataset'!$E196</f>
        <v>2</v>
      </c>
      <c r="K196">
        <v>16.579999999999998</v>
      </c>
      <c r="L196">
        <v>4</v>
      </c>
      <c r="M196" s="12">
        <f t="shared" si="12"/>
        <v>0.24125452352231608</v>
      </c>
      <c r="N196" s="11">
        <f t="shared" si="13"/>
        <v>8.2899999999999991</v>
      </c>
      <c r="O196" s="11">
        <f t="shared" si="14"/>
        <v>2</v>
      </c>
      <c r="P196">
        <f>IF('tips dataset'!$C196="thur",1,0)</f>
        <v>0</v>
      </c>
      <c r="Q196" t="str">
        <f t="shared" si="15"/>
        <v>Medium</v>
      </c>
    </row>
    <row r="197" spans="1:17" x14ac:dyDescent="0.3">
      <c r="A197">
        <f>IF('tips dataset'!$A197="Male",1,0)</f>
        <v>1</v>
      </c>
      <c r="B197">
        <f>IF('tips dataset'!$A197="Female",1,0)</f>
        <v>0</v>
      </c>
      <c r="C197">
        <f>IF('tips dataset'!$B197="Yes",1,0)</f>
        <v>1</v>
      </c>
      <c r="D197">
        <f>IF('tips dataset'!$B197="No",1,0)</f>
        <v>0</v>
      </c>
      <c r="E197">
        <f>IF('tips dataset'!$C197="Sat",1,0)</f>
        <v>1</v>
      </c>
      <c r="F197">
        <f>IF('tips dataset'!$C197="fri",1,0)</f>
        <v>0</v>
      </c>
      <c r="G197">
        <f>IF('tips dataset'!$C197="Sun",1,0)</f>
        <v>0</v>
      </c>
      <c r="H197">
        <f>IF('tips dataset'!$D197="Lunch",1,0)</f>
        <v>0</v>
      </c>
      <c r="I197">
        <f>IF('tips dataset'!$D197="Dinner",1,0)</f>
        <v>1</v>
      </c>
      <c r="J197">
        <f>'tips dataset'!$E197</f>
        <v>3</v>
      </c>
      <c r="K197">
        <v>7.56</v>
      </c>
      <c r="L197">
        <v>1.44</v>
      </c>
      <c r="M197" s="12">
        <f t="shared" si="12"/>
        <v>0.19047619047619047</v>
      </c>
      <c r="N197" s="11">
        <f t="shared" si="13"/>
        <v>2.52</v>
      </c>
      <c r="O197" s="11">
        <f t="shared" si="14"/>
        <v>0.48</v>
      </c>
      <c r="P197">
        <f>IF('tips dataset'!$C197="thur",1,0)</f>
        <v>0</v>
      </c>
      <c r="Q197" t="str">
        <f t="shared" si="15"/>
        <v>Low</v>
      </c>
    </row>
    <row r="198" spans="1:17" x14ac:dyDescent="0.3">
      <c r="A198">
        <f>IF('tips dataset'!$A198="Male",1,0)</f>
        <v>0</v>
      </c>
      <c r="B198">
        <f>IF('tips dataset'!$A198="Female",1,0)</f>
        <v>1</v>
      </c>
      <c r="C198">
        <f>IF('tips dataset'!$B198="Yes",1,0)</f>
        <v>1</v>
      </c>
      <c r="D198">
        <f>IF('tips dataset'!$B198="No",1,0)</f>
        <v>0</v>
      </c>
      <c r="E198">
        <f>IF('tips dataset'!$C198="Sat",1,0)</f>
        <v>1</v>
      </c>
      <c r="F198">
        <f>IF('tips dataset'!$C198="fri",1,0)</f>
        <v>0</v>
      </c>
      <c r="G198">
        <f>IF('tips dataset'!$C198="Sun",1,0)</f>
        <v>0</v>
      </c>
      <c r="H198">
        <f>IF('tips dataset'!$D198="Lunch",1,0)</f>
        <v>0</v>
      </c>
      <c r="I198">
        <f>IF('tips dataset'!$D198="Dinner",1,0)</f>
        <v>1</v>
      </c>
      <c r="J198">
        <f>'tips dataset'!$E198</f>
        <v>2</v>
      </c>
      <c r="K198">
        <v>10.34</v>
      </c>
      <c r="L198">
        <v>2</v>
      </c>
      <c r="M198" s="12">
        <f t="shared" si="12"/>
        <v>0.19342359767891684</v>
      </c>
      <c r="N198" s="11">
        <f t="shared" si="13"/>
        <v>5.17</v>
      </c>
      <c r="O198" s="11">
        <f t="shared" si="14"/>
        <v>1</v>
      </c>
      <c r="P198">
        <f>IF('tips dataset'!$C198="thur",1,0)</f>
        <v>0</v>
      </c>
      <c r="Q198" t="str">
        <f t="shared" si="15"/>
        <v>Low</v>
      </c>
    </row>
    <row r="199" spans="1:17" x14ac:dyDescent="0.3">
      <c r="A199">
        <f>IF('tips dataset'!$A199="Male",1,0)</f>
        <v>1</v>
      </c>
      <c r="B199">
        <f>IF('tips dataset'!$A199="Female",1,0)</f>
        <v>0</v>
      </c>
      <c r="C199">
        <f>IF('tips dataset'!$B199="Yes",1,0)</f>
        <v>0</v>
      </c>
      <c r="D199">
        <f>IF('tips dataset'!$B199="No",1,0)</f>
        <v>1</v>
      </c>
      <c r="E199">
        <f>IF('tips dataset'!$C199="Sat",1,0)</f>
        <v>0</v>
      </c>
      <c r="F199">
        <f>IF('tips dataset'!$C199="fri",1,0)</f>
        <v>0</v>
      </c>
      <c r="G199">
        <f>IF('tips dataset'!$C199="Sun",1,0)</f>
        <v>1</v>
      </c>
      <c r="H199">
        <f>IF('tips dataset'!$D199="Lunch",1,0)</f>
        <v>0</v>
      </c>
      <c r="I199">
        <f>IF('tips dataset'!$D199="Dinner",1,0)</f>
        <v>1</v>
      </c>
      <c r="J199">
        <f>'tips dataset'!$E199</f>
        <v>4</v>
      </c>
      <c r="K199">
        <v>43.11</v>
      </c>
      <c r="L199">
        <v>5</v>
      </c>
      <c r="M199" s="12">
        <f t="shared" si="12"/>
        <v>0.11598237067965669</v>
      </c>
      <c r="N199" s="11">
        <f t="shared" si="13"/>
        <v>10.7775</v>
      </c>
      <c r="O199" s="11">
        <f t="shared" si="14"/>
        <v>1.25</v>
      </c>
      <c r="P199">
        <f>IF('tips dataset'!$C199="thur",1,0)</f>
        <v>0</v>
      </c>
      <c r="Q199" t="str">
        <f t="shared" si="15"/>
        <v>Premium</v>
      </c>
    </row>
    <row r="200" spans="1:17" x14ac:dyDescent="0.3">
      <c r="A200">
        <f>IF('tips dataset'!$A200="Male",1,0)</f>
        <v>0</v>
      </c>
      <c r="B200">
        <f>IF('tips dataset'!$A200="Female",1,0)</f>
        <v>1</v>
      </c>
      <c r="C200">
        <f>IF('tips dataset'!$B200="Yes",1,0)</f>
        <v>0</v>
      </c>
      <c r="D200">
        <f>IF('tips dataset'!$B200="No",1,0)</f>
        <v>1</v>
      </c>
      <c r="E200">
        <f>IF('tips dataset'!$C200="Sat",1,0)</f>
        <v>0</v>
      </c>
      <c r="F200">
        <f>IF('tips dataset'!$C200="fri",1,0)</f>
        <v>0</v>
      </c>
      <c r="G200">
        <f>IF('tips dataset'!$C200="Sun",1,0)</f>
        <v>0</v>
      </c>
      <c r="H200">
        <f>IF('tips dataset'!$D200="Lunch",1,0)</f>
        <v>1</v>
      </c>
      <c r="I200">
        <f>IF('tips dataset'!$D200="Dinner",1,0)</f>
        <v>0</v>
      </c>
      <c r="J200">
        <f>'tips dataset'!$E200</f>
        <v>6</v>
      </c>
      <c r="K200">
        <v>13</v>
      </c>
      <c r="L200">
        <v>2</v>
      </c>
      <c r="M200" s="12">
        <f t="shared" si="12"/>
        <v>0.15384615384615385</v>
      </c>
      <c r="N200" s="11">
        <f t="shared" si="13"/>
        <v>2.1666666666666665</v>
      </c>
      <c r="O200" s="11">
        <f t="shared" si="14"/>
        <v>0.33333333333333331</v>
      </c>
      <c r="P200">
        <f>IF('tips dataset'!$C200="thur",1,0)</f>
        <v>1</v>
      </c>
      <c r="Q200" t="str">
        <f t="shared" si="15"/>
        <v>Low</v>
      </c>
    </row>
    <row r="201" spans="1:17" x14ac:dyDescent="0.3">
      <c r="A201">
        <f>IF('tips dataset'!$A201="Male",1,0)</f>
        <v>0</v>
      </c>
      <c r="B201">
        <f>IF('tips dataset'!$A201="Female",1,0)</f>
        <v>1</v>
      </c>
      <c r="C201">
        <f>IF('tips dataset'!$B201="Yes",1,0)</f>
        <v>1</v>
      </c>
      <c r="D201">
        <f>IF('tips dataset'!$B201="No",1,0)</f>
        <v>0</v>
      </c>
      <c r="E201">
        <f>IF('tips dataset'!$C201="Sat",1,0)</f>
        <v>1</v>
      </c>
      <c r="F201">
        <f>IF('tips dataset'!$C201="fri",1,0)</f>
        <v>0</v>
      </c>
      <c r="G201">
        <f>IF('tips dataset'!$C201="Sun",1,0)</f>
        <v>0</v>
      </c>
      <c r="H201">
        <f>IF('tips dataset'!$D201="Lunch",1,0)</f>
        <v>0</v>
      </c>
      <c r="I201">
        <f>IF('tips dataset'!$D201="Dinner",1,0)</f>
        <v>1</v>
      </c>
      <c r="J201">
        <f>'tips dataset'!$E201</f>
        <v>2</v>
      </c>
      <c r="K201">
        <v>13.51</v>
      </c>
      <c r="L201">
        <v>2</v>
      </c>
      <c r="M201" s="12">
        <f t="shared" si="12"/>
        <v>0.14803849000740193</v>
      </c>
      <c r="N201" s="11">
        <f t="shared" si="13"/>
        <v>6.7549999999999999</v>
      </c>
      <c r="O201" s="11">
        <f t="shared" si="14"/>
        <v>1</v>
      </c>
      <c r="P201">
        <f>IF('tips dataset'!$C201="thur",1,0)</f>
        <v>0</v>
      </c>
      <c r="Q201" t="str">
        <f t="shared" si="15"/>
        <v>Low</v>
      </c>
    </row>
    <row r="202" spans="1:17" x14ac:dyDescent="0.3">
      <c r="A202">
        <f>IF('tips dataset'!$A202="Male",1,0)</f>
        <v>1</v>
      </c>
      <c r="B202">
        <f>IF('tips dataset'!$A202="Female",1,0)</f>
        <v>0</v>
      </c>
      <c r="C202">
        <f>IF('tips dataset'!$B202="Yes",1,0)</f>
        <v>0</v>
      </c>
      <c r="D202">
        <f>IF('tips dataset'!$B202="No",1,0)</f>
        <v>1</v>
      </c>
      <c r="E202">
        <f>IF('tips dataset'!$C202="Sat",1,0)</f>
        <v>0</v>
      </c>
      <c r="F202">
        <f>IF('tips dataset'!$C202="fri",1,0)</f>
        <v>0</v>
      </c>
      <c r="G202">
        <f>IF('tips dataset'!$C202="Sun",1,0)</f>
        <v>0</v>
      </c>
      <c r="H202">
        <f>IF('tips dataset'!$D202="Lunch",1,0)</f>
        <v>1</v>
      </c>
      <c r="I202">
        <f>IF('tips dataset'!$D202="Dinner",1,0)</f>
        <v>0</v>
      </c>
      <c r="J202">
        <f>'tips dataset'!$E202</f>
        <v>4</v>
      </c>
      <c r="K202">
        <v>18.71</v>
      </c>
      <c r="L202">
        <v>4</v>
      </c>
      <c r="M202" s="12">
        <f t="shared" si="12"/>
        <v>0.2137894174238375</v>
      </c>
      <c r="N202" s="11">
        <f t="shared" si="13"/>
        <v>4.6775000000000002</v>
      </c>
      <c r="O202" s="11">
        <f t="shared" si="14"/>
        <v>1</v>
      </c>
      <c r="P202">
        <f>IF('tips dataset'!$C202="thur",1,0)</f>
        <v>1</v>
      </c>
      <c r="Q202" t="str">
        <f t="shared" si="15"/>
        <v>Medium</v>
      </c>
    </row>
    <row r="203" spans="1:17" x14ac:dyDescent="0.3">
      <c r="A203">
        <f>IF('tips dataset'!$A203="Male",1,0)</f>
        <v>1</v>
      </c>
      <c r="B203">
        <f>IF('tips dataset'!$A203="Female",1,0)</f>
        <v>0</v>
      </c>
      <c r="C203">
        <f>IF('tips dataset'!$B203="Yes",1,0)</f>
        <v>1</v>
      </c>
      <c r="D203">
        <f>IF('tips dataset'!$B203="No",1,0)</f>
        <v>0</v>
      </c>
      <c r="E203">
        <f>IF('tips dataset'!$C203="Sat",1,0)</f>
        <v>0</v>
      </c>
      <c r="F203">
        <f>IF('tips dataset'!$C203="fri",1,0)</f>
        <v>1</v>
      </c>
      <c r="G203">
        <f>IF('tips dataset'!$C203="Sun",1,0)</f>
        <v>0</v>
      </c>
      <c r="H203">
        <f>IF('tips dataset'!$D203="Lunch",1,0)</f>
        <v>0</v>
      </c>
      <c r="I203">
        <f>IF('tips dataset'!$D203="Dinner",1,0)</f>
        <v>1</v>
      </c>
      <c r="J203">
        <f>'tips dataset'!$E203</f>
        <v>2</v>
      </c>
      <c r="K203">
        <v>12.74</v>
      </c>
      <c r="L203">
        <v>2.0099999999999998</v>
      </c>
      <c r="M203" s="12">
        <f t="shared" si="12"/>
        <v>0.15777080062794346</v>
      </c>
      <c r="N203" s="11">
        <f t="shared" si="13"/>
        <v>6.37</v>
      </c>
      <c r="O203" s="11">
        <f t="shared" si="14"/>
        <v>1.0049999999999999</v>
      </c>
      <c r="P203">
        <f>IF('tips dataset'!$C203="thur",1,0)</f>
        <v>0</v>
      </c>
      <c r="Q203" t="str">
        <f t="shared" si="15"/>
        <v>Low</v>
      </c>
    </row>
    <row r="204" spans="1:17" x14ac:dyDescent="0.3">
      <c r="A204">
        <f>IF('tips dataset'!$A204="Male",1,0)</f>
        <v>1</v>
      </c>
      <c r="B204">
        <f>IF('tips dataset'!$A204="Female",1,0)</f>
        <v>0</v>
      </c>
      <c r="C204">
        <f>IF('tips dataset'!$B204="Yes",1,0)</f>
        <v>1</v>
      </c>
      <c r="D204">
        <f>IF('tips dataset'!$B204="No",1,0)</f>
        <v>0</v>
      </c>
      <c r="E204">
        <f>IF('tips dataset'!$C204="Sat",1,0)</f>
        <v>1</v>
      </c>
      <c r="F204">
        <f>IF('tips dataset'!$C204="fri",1,0)</f>
        <v>0</v>
      </c>
      <c r="G204">
        <f>IF('tips dataset'!$C204="Sun",1,0)</f>
        <v>0</v>
      </c>
      <c r="H204">
        <f>IF('tips dataset'!$D204="Lunch",1,0)</f>
        <v>0</v>
      </c>
      <c r="I204">
        <f>IF('tips dataset'!$D204="Dinner",1,0)</f>
        <v>1</v>
      </c>
      <c r="J204">
        <f>'tips dataset'!$E204</f>
        <v>5</v>
      </c>
      <c r="K204">
        <v>16.399999999999999</v>
      </c>
      <c r="L204">
        <v>2.5</v>
      </c>
      <c r="M204" s="12">
        <f t="shared" si="12"/>
        <v>0.15243902439024393</v>
      </c>
      <c r="N204" s="11">
        <f t="shared" si="13"/>
        <v>3.28</v>
      </c>
      <c r="O204" s="11">
        <f t="shared" si="14"/>
        <v>0.5</v>
      </c>
      <c r="P204">
        <f>IF('tips dataset'!$C204="thur",1,0)</f>
        <v>0</v>
      </c>
      <c r="Q204" t="str">
        <f t="shared" si="15"/>
        <v>Medium</v>
      </c>
    </row>
    <row r="205" spans="1:17" x14ac:dyDescent="0.3">
      <c r="A205">
        <f>IF('tips dataset'!$A205="Male",1,0)</f>
        <v>0</v>
      </c>
      <c r="B205">
        <f>IF('tips dataset'!$A205="Female",1,0)</f>
        <v>1</v>
      </c>
      <c r="C205">
        <f>IF('tips dataset'!$B205="Yes",1,0)</f>
        <v>1</v>
      </c>
      <c r="D205">
        <f>IF('tips dataset'!$B205="No",1,0)</f>
        <v>0</v>
      </c>
      <c r="E205">
        <f>IF('tips dataset'!$C205="Sat",1,0)</f>
        <v>1</v>
      </c>
      <c r="F205">
        <f>IF('tips dataset'!$C205="fri",1,0)</f>
        <v>0</v>
      </c>
      <c r="G205">
        <f>IF('tips dataset'!$C205="Sun",1,0)</f>
        <v>0</v>
      </c>
      <c r="H205">
        <f>IF('tips dataset'!$D205="Lunch",1,0)</f>
        <v>0</v>
      </c>
      <c r="I205">
        <f>IF('tips dataset'!$D205="Dinner",1,0)</f>
        <v>1</v>
      </c>
      <c r="J205">
        <f>'tips dataset'!$E205</f>
        <v>3</v>
      </c>
      <c r="K205">
        <v>20.53</v>
      </c>
      <c r="L205">
        <v>4</v>
      </c>
      <c r="M205" s="12">
        <f t="shared" si="12"/>
        <v>0.19483682415976619</v>
      </c>
      <c r="N205" s="11">
        <f t="shared" si="13"/>
        <v>6.8433333333333337</v>
      </c>
      <c r="O205" s="11">
        <f t="shared" si="14"/>
        <v>1.3333333333333333</v>
      </c>
      <c r="P205">
        <f>IF('tips dataset'!$C205="thur",1,0)</f>
        <v>0</v>
      </c>
      <c r="Q205" t="str">
        <f t="shared" si="15"/>
        <v>Medium</v>
      </c>
    </row>
    <row r="206" spans="1:17" x14ac:dyDescent="0.3">
      <c r="A206">
        <f>IF('tips dataset'!$A206="Male",1,0)</f>
        <v>1</v>
      </c>
      <c r="B206">
        <f>IF('tips dataset'!$A206="Female",1,0)</f>
        <v>0</v>
      </c>
      <c r="C206">
        <f>IF('tips dataset'!$B206="Yes",1,0)</f>
        <v>1</v>
      </c>
      <c r="D206">
        <f>IF('tips dataset'!$B206="No",1,0)</f>
        <v>0</v>
      </c>
      <c r="E206">
        <f>IF('tips dataset'!$C206="Sat",1,0)</f>
        <v>0</v>
      </c>
      <c r="F206">
        <f>IF('tips dataset'!$C206="fri",1,0)</f>
        <v>0</v>
      </c>
      <c r="G206">
        <f>IF('tips dataset'!$C206="Sun",1,0)</f>
        <v>0</v>
      </c>
      <c r="H206">
        <f>IF('tips dataset'!$D206="Lunch",1,0)</f>
        <v>1</v>
      </c>
      <c r="I206">
        <f>IF('tips dataset'!$D206="Dinner",1,0)</f>
        <v>0</v>
      </c>
      <c r="J206">
        <f>'tips dataset'!$E206</f>
        <v>2</v>
      </c>
      <c r="K206">
        <v>16.47</v>
      </c>
      <c r="L206">
        <v>3.23</v>
      </c>
      <c r="M206" s="12">
        <f t="shared" si="12"/>
        <v>0.19611414693381907</v>
      </c>
      <c r="N206" s="11">
        <f t="shared" si="13"/>
        <v>8.2349999999999994</v>
      </c>
      <c r="O206" s="11">
        <f t="shared" si="14"/>
        <v>1.615</v>
      </c>
      <c r="P206">
        <f>IF('tips dataset'!$C206="thur",1,0)</f>
        <v>1</v>
      </c>
      <c r="Q206" t="str">
        <f t="shared" si="15"/>
        <v>Medium</v>
      </c>
    </row>
    <row r="207" spans="1:17" x14ac:dyDescent="0.3">
      <c r="A207">
        <f>IF('tips dataset'!$A207="Male",1,0)</f>
        <v>1</v>
      </c>
      <c r="B207">
        <f>IF('tips dataset'!$A207="Female",1,0)</f>
        <v>0</v>
      </c>
      <c r="C207">
        <f>IF('tips dataset'!$B207="Yes",1,0)</f>
        <v>0</v>
      </c>
      <c r="D207">
        <f>IF('tips dataset'!$B207="No",1,0)</f>
        <v>1</v>
      </c>
      <c r="E207">
        <f>IF('tips dataset'!$C207="Sat",1,0)</f>
        <v>0</v>
      </c>
      <c r="F207">
        <f>IF('tips dataset'!$C207="fri",1,0)</f>
        <v>0</v>
      </c>
      <c r="G207">
        <f>IF('tips dataset'!$C207="Sun",1,0)</f>
        <v>1</v>
      </c>
      <c r="H207">
        <f>IF('tips dataset'!$D207="Lunch",1,0)</f>
        <v>0</v>
      </c>
      <c r="I207">
        <f>IF('tips dataset'!$D207="Dinner",1,0)</f>
        <v>1</v>
      </c>
      <c r="J207">
        <f>'tips dataset'!$E207</f>
        <v>3</v>
      </c>
      <c r="K207">
        <v>26.59</v>
      </c>
      <c r="L207">
        <v>3.41</v>
      </c>
      <c r="M207" s="12">
        <f t="shared" si="12"/>
        <v>0.1282437006393381</v>
      </c>
      <c r="N207" s="11">
        <f t="shared" si="13"/>
        <v>8.8633333333333333</v>
      </c>
      <c r="O207" s="11">
        <f t="shared" si="14"/>
        <v>1.1366666666666667</v>
      </c>
      <c r="P207">
        <f>IF('tips dataset'!$C207="thur",1,0)</f>
        <v>0</v>
      </c>
      <c r="Q207" t="str">
        <f t="shared" si="15"/>
        <v>High</v>
      </c>
    </row>
    <row r="208" spans="1:17" x14ac:dyDescent="0.3">
      <c r="A208">
        <f>IF('tips dataset'!$A208="Male",1,0)</f>
        <v>1</v>
      </c>
      <c r="B208">
        <f>IF('tips dataset'!$A208="Female",1,0)</f>
        <v>0</v>
      </c>
      <c r="C208">
        <f>IF('tips dataset'!$B208="Yes",1,0)</f>
        <v>1</v>
      </c>
      <c r="D208">
        <f>IF('tips dataset'!$B208="No",1,0)</f>
        <v>0</v>
      </c>
      <c r="E208">
        <f>IF('tips dataset'!$C208="Sat",1,0)</f>
        <v>0</v>
      </c>
      <c r="F208">
        <f>IF('tips dataset'!$C208="fri",1,0)</f>
        <v>1</v>
      </c>
      <c r="G208">
        <f>IF('tips dataset'!$C208="Sun",1,0)</f>
        <v>0</v>
      </c>
      <c r="H208">
        <f>IF('tips dataset'!$D208="Lunch",1,0)</f>
        <v>0</v>
      </c>
      <c r="I208">
        <f>IF('tips dataset'!$D208="Dinner",1,0)</f>
        <v>1</v>
      </c>
      <c r="J208">
        <f>'tips dataset'!$E208</f>
        <v>2</v>
      </c>
      <c r="K208">
        <v>38.729999999999997</v>
      </c>
      <c r="L208">
        <v>3</v>
      </c>
      <c r="M208" s="12">
        <f t="shared" si="12"/>
        <v>7.7459333849728904E-2</v>
      </c>
      <c r="N208" s="11">
        <f t="shared" si="13"/>
        <v>19.364999999999998</v>
      </c>
      <c r="O208" s="11">
        <f t="shared" si="14"/>
        <v>1.5</v>
      </c>
      <c r="P208">
        <f>IF('tips dataset'!$C208="thur",1,0)</f>
        <v>0</v>
      </c>
      <c r="Q208" t="str">
        <f t="shared" si="15"/>
        <v>Premium</v>
      </c>
    </row>
    <row r="209" spans="1:17" x14ac:dyDescent="0.3">
      <c r="A209">
        <f>IF('tips dataset'!$A209="Male",1,0)</f>
        <v>1</v>
      </c>
      <c r="B209">
        <f>IF('tips dataset'!$A209="Female",1,0)</f>
        <v>0</v>
      </c>
      <c r="C209">
        <f>IF('tips dataset'!$B209="Yes",1,0)</f>
        <v>0</v>
      </c>
      <c r="D209">
        <f>IF('tips dataset'!$B209="No",1,0)</f>
        <v>1</v>
      </c>
      <c r="E209">
        <f>IF('tips dataset'!$C209="Sat",1,0)</f>
        <v>1</v>
      </c>
      <c r="F209">
        <f>IF('tips dataset'!$C209="fri",1,0)</f>
        <v>0</v>
      </c>
      <c r="G209">
        <f>IF('tips dataset'!$C209="Sun",1,0)</f>
        <v>0</v>
      </c>
      <c r="H209">
        <f>IF('tips dataset'!$D209="Lunch",1,0)</f>
        <v>0</v>
      </c>
      <c r="I209">
        <f>IF('tips dataset'!$D209="Dinner",1,0)</f>
        <v>1</v>
      </c>
      <c r="J209">
        <f>'tips dataset'!$E209</f>
        <v>3</v>
      </c>
      <c r="K209">
        <v>24.27</v>
      </c>
      <c r="L209">
        <v>2.0299999999999998</v>
      </c>
      <c r="M209" s="12">
        <f t="shared" si="12"/>
        <v>8.3642356819118246E-2</v>
      </c>
      <c r="N209" s="11">
        <f t="shared" si="13"/>
        <v>8.09</v>
      </c>
      <c r="O209" s="11">
        <f t="shared" si="14"/>
        <v>0.67666666666666664</v>
      </c>
      <c r="P209">
        <f>IF('tips dataset'!$C209="thur",1,0)</f>
        <v>0</v>
      </c>
      <c r="Q209" t="str">
        <f t="shared" si="15"/>
        <v>Medium</v>
      </c>
    </row>
    <row r="210" spans="1:17" x14ac:dyDescent="0.3">
      <c r="A210">
        <f>IF('tips dataset'!$A210="Male",1,0)</f>
        <v>0</v>
      </c>
      <c r="B210">
        <f>IF('tips dataset'!$A210="Female",1,0)</f>
        <v>1</v>
      </c>
      <c r="C210">
        <f>IF('tips dataset'!$B210="Yes",1,0)</f>
        <v>0</v>
      </c>
      <c r="D210">
        <f>IF('tips dataset'!$B210="No",1,0)</f>
        <v>1</v>
      </c>
      <c r="E210">
        <f>IF('tips dataset'!$C210="Sat",1,0)</f>
        <v>0</v>
      </c>
      <c r="F210">
        <f>IF('tips dataset'!$C210="fri",1,0)</f>
        <v>0</v>
      </c>
      <c r="G210">
        <f>IF('tips dataset'!$C210="Sun",1,0)</f>
        <v>0</v>
      </c>
      <c r="H210">
        <f>IF('tips dataset'!$D210="Lunch",1,0)</f>
        <v>1</v>
      </c>
      <c r="I210">
        <f>IF('tips dataset'!$D210="Dinner",1,0)</f>
        <v>0</v>
      </c>
      <c r="J210">
        <f>'tips dataset'!$E210</f>
        <v>6</v>
      </c>
      <c r="K210">
        <v>12.76</v>
      </c>
      <c r="L210">
        <v>2.23</v>
      </c>
      <c r="M210" s="12">
        <f t="shared" si="12"/>
        <v>0.17476489028213166</v>
      </c>
      <c r="N210" s="11">
        <f t="shared" si="13"/>
        <v>2.1266666666666665</v>
      </c>
      <c r="O210" s="11">
        <f t="shared" si="14"/>
        <v>0.37166666666666665</v>
      </c>
      <c r="P210">
        <f>IF('tips dataset'!$C210="thur",1,0)</f>
        <v>1</v>
      </c>
      <c r="Q210" t="str">
        <f t="shared" si="15"/>
        <v>Low</v>
      </c>
    </row>
    <row r="211" spans="1:17" x14ac:dyDescent="0.3">
      <c r="A211">
        <f>IF('tips dataset'!$A211="Male",1,0)</f>
        <v>0</v>
      </c>
      <c r="B211">
        <f>IF('tips dataset'!$A211="Female",1,0)</f>
        <v>1</v>
      </c>
      <c r="C211">
        <f>IF('tips dataset'!$B211="Yes",1,0)</f>
        <v>0</v>
      </c>
      <c r="D211">
        <f>IF('tips dataset'!$B211="No",1,0)</f>
        <v>1</v>
      </c>
      <c r="E211">
        <f>IF('tips dataset'!$C211="Sat",1,0)</f>
        <v>0</v>
      </c>
      <c r="F211">
        <f>IF('tips dataset'!$C211="fri",1,0)</f>
        <v>0</v>
      </c>
      <c r="G211">
        <f>IF('tips dataset'!$C211="Sun",1,0)</f>
        <v>1</v>
      </c>
      <c r="H211">
        <f>IF('tips dataset'!$D211="Lunch",1,0)</f>
        <v>0</v>
      </c>
      <c r="I211">
        <f>IF('tips dataset'!$D211="Dinner",1,0)</f>
        <v>1</v>
      </c>
      <c r="J211">
        <f>'tips dataset'!$E211</f>
        <v>5</v>
      </c>
      <c r="K211">
        <v>30.06</v>
      </c>
      <c r="L211">
        <v>2</v>
      </c>
      <c r="M211" s="12">
        <f t="shared" si="12"/>
        <v>6.6533599467731214E-2</v>
      </c>
      <c r="N211" s="11">
        <f t="shared" si="13"/>
        <v>6.0119999999999996</v>
      </c>
      <c r="O211" s="11">
        <f t="shared" si="14"/>
        <v>0.4</v>
      </c>
      <c r="P211">
        <f>IF('tips dataset'!$C211="thur",1,0)</f>
        <v>0</v>
      </c>
      <c r="Q211" t="str">
        <f t="shared" si="15"/>
        <v>High</v>
      </c>
    </row>
    <row r="212" spans="1:17" x14ac:dyDescent="0.3">
      <c r="A212">
        <f>IF('tips dataset'!$A212="Male",1,0)</f>
        <v>1</v>
      </c>
      <c r="B212">
        <f>IF('tips dataset'!$A212="Female",1,0)</f>
        <v>0</v>
      </c>
      <c r="C212">
        <f>IF('tips dataset'!$B212="Yes",1,0)</f>
        <v>0</v>
      </c>
      <c r="D212">
        <f>IF('tips dataset'!$B212="No",1,0)</f>
        <v>1</v>
      </c>
      <c r="E212">
        <f>IF('tips dataset'!$C212="Sat",1,0)</f>
        <v>0</v>
      </c>
      <c r="F212">
        <f>IF('tips dataset'!$C212="fri",1,0)</f>
        <v>0</v>
      </c>
      <c r="G212">
        <f>IF('tips dataset'!$C212="Sun",1,0)</f>
        <v>1</v>
      </c>
      <c r="H212">
        <f>IF('tips dataset'!$D212="Lunch",1,0)</f>
        <v>0</v>
      </c>
      <c r="I212">
        <f>IF('tips dataset'!$D212="Dinner",1,0)</f>
        <v>1</v>
      </c>
      <c r="J212">
        <f>'tips dataset'!$E212</f>
        <v>4</v>
      </c>
      <c r="K212">
        <v>25.89</v>
      </c>
      <c r="L212">
        <v>5.16</v>
      </c>
      <c r="M212" s="12">
        <f t="shared" si="12"/>
        <v>0.19930475086906141</v>
      </c>
      <c r="N212" s="11">
        <f t="shared" si="13"/>
        <v>6.4725000000000001</v>
      </c>
      <c r="O212" s="11">
        <f t="shared" si="14"/>
        <v>1.29</v>
      </c>
      <c r="P212">
        <f>IF('tips dataset'!$C212="thur",1,0)</f>
        <v>0</v>
      </c>
      <c r="Q212" t="str">
        <f t="shared" si="15"/>
        <v>High</v>
      </c>
    </row>
    <row r="213" spans="1:17" x14ac:dyDescent="0.3">
      <c r="A213">
        <f>IF('tips dataset'!$A213="Male",1,0)</f>
        <v>1</v>
      </c>
      <c r="B213">
        <f>IF('tips dataset'!$A213="Female",1,0)</f>
        <v>0</v>
      </c>
      <c r="C213">
        <f>IF('tips dataset'!$B213="Yes",1,0)</f>
        <v>1</v>
      </c>
      <c r="D213">
        <f>IF('tips dataset'!$B213="No",1,0)</f>
        <v>0</v>
      </c>
      <c r="E213">
        <f>IF('tips dataset'!$C213="Sat",1,0)</f>
        <v>1</v>
      </c>
      <c r="F213">
        <f>IF('tips dataset'!$C213="fri",1,0)</f>
        <v>0</v>
      </c>
      <c r="G213">
        <f>IF('tips dataset'!$C213="Sun",1,0)</f>
        <v>0</v>
      </c>
      <c r="H213">
        <f>IF('tips dataset'!$D213="Lunch",1,0)</f>
        <v>0</v>
      </c>
      <c r="I213">
        <f>IF('tips dataset'!$D213="Dinner",1,0)</f>
        <v>1</v>
      </c>
      <c r="J213">
        <f>'tips dataset'!$E213</f>
        <v>3</v>
      </c>
      <c r="K213">
        <v>48.33</v>
      </c>
      <c r="L213">
        <v>9</v>
      </c>
      <c r="M213" s="12">
        <f t="shared" si="12"/>
        <v>0.18621973929236499</v>
      </c>
      <c r="N213" s="11">
        <f t="shared" si="13"/>
        <v>16.11</v>
      </c>
      <c r="O213" s="11">
        <f t="shared" si="14"/>
        <v>3</v>
      </c>
      <c r="P213">
        <f>IF('tips dataset'!$C213="thur",1,0)</f>
        <v>0</v>
      </c>
      <c r="Q213" t="str">
        <f t="shared" si="15"/>
        <v>Premium</v>
      </c>
    </row>
    <row r="214" spans="1:17" x14ac:dyDescent="0.3">
      <c r="A214">
        <f>IF('tips dataset'!$A214="Male",1,0)</f>
        <v>0</v>
      </c>
      <c r="B214">
        <f>IF('tips dataset'!$A214="Female",1,0)</f>
        <v>1</v>
      </c>
      <c r="C214">
        <f>IF('tips dataset'!$B214="Yes",1,0)</f>
        <v>1</v>
      </c>
      <c r="D214">
        <f>IF('tips dataset'!$B214="No",1,0)</f>
        <v>0</v>
      </c>
      <c r="E214">
        <f>IF('tips dataset'!$C214="Sat",1,0)</f>
        <v>1</v>
      </c>
      <c r="F214">
        <f>IF('tips dataset'!$C214="fri",1,0)</f>
        <v>0</v>
      </c>
      <c r="G214">
        <f>IF('tips dataset'!$C214="Sun",1,0)</f>
        <v>0</v>
      </c>
      <c r="H214">
        <f>IF('tips dataset'!$D214="Lunch",1,0)</f>
        <v>0</v>
      </c>
      <c r="I214">
        <f>IF('tips dataset'!$D214="Dinner",1,0)</f>
        <v>1</v>
      </c>
      <c r="J214">
        <f>'tips dataset'!$E214</f>
        <v>4</v>
      </c>
      <c r="K214">
        <v>13.27</v>
      </c>
      <c r="L214">
        <v>2.5</v>
      </c>
      <c r="M214" s="12">
        <f t="shared" si="12"/>
        <v>0.18839487565938207</v>
      </c>
      <c r="N214" s="11">
        <f t="shared" si="13"/>
        <v>3.3174999999999999</v>
      </c>
      <c r="O214" s="11">
        <f t="shared" si="14"/>
        <v>0.625</v>
      </c>
      <c r="P214">
        <f>IF('tips dataset'!$C214="thur",1,0)</f>
        <v>0</v>
      </c>
      <c r="Q214" t="str">
        <f t="shared" si="15"/>
        <v>Low</v>
      </c>
    </row>
    <row r="215" spans="1:17" x14ac:dyDescent="0.3">
      <c r="A215">
        <f>IF('tips dataset'!$A215="Male",1,0)</f>
        <v>1</v>
      </c>
      <c r="B215">
        <f>IF('tips dataset'!$A215="Female",1,0)</f>
        <v>0</v>
      </c>
      <c r="C215">
        <f>IF('tips dataset'!$B215="Yes",1,0)</f>
        <v>0</v>
      </c>
      <c r="D215">
        <f>IF('tips dataset'!$B215="No",1,0)</f>
        <v>1</v>
      </c>
      <c r="E215">
        <f>IF('tips dataset'!$C215="Sat",1,0)</f>
        <v>0</v>
      </c>
      <c r="F215">
        <f>IF('tips dataset'!$C215="fri",1,0)</f>
        <v>0</v>
      </c>
      <c r="G215">
        <f>IF('tips dataset'!$C215="Sun",1,0)</f>
        <v>1</v>
      </c>
      <c r="H215">
        <f>IF('tips dataset'!$D215="Lunch",1,0)</f>
        <v>0</v>
      </c>
      <c r="I215">
        <f>IF('tips dataset'!$D215="Dinner",1,0)</f>
        <v>1</v>
      </c>
      <c r="J215">
        <f>'tips dataset'!$E215</f>
        <v>4</v>
      </c>
      <c r="K215">
        <v>28.17</v>
      </c>
      <c r="L215">
        <v>6.5</v>
      </c>
      <c r="M215" s="12">
        <f t="shared" si="12"/>
        <v>0.23074192403265883</v>
      </c>
      <c r="N215" s="11">
        <f t="shared" si="13"/>
        <v>7.0425000000000004</v>
      </c>
      <c r="O215" s="11">
        <f t="shared" si="14"/>
        <v>1.625</v>
      </c>
      <c r="P215">
        <f>IF('tips dataset'!$C215="thur",1,0)</f>
        <v>0</v>
      </c>
      <c r="Q215" t="str">
        <f t="shared" si="15"/>
        <v>High</v>
      </c>
    </row>
    <row r="216" spans="1:17" x14ac:dyDescent="0.3">
      <c r="A216">
        <f>IF('tips dataset'!$A216="Male",1,0)</f>
        <v>1</v>
      </c>
      <c r="B216">
        <f>IF('tips dataset'!$A216="Female",1,0)</f>
        <v>0</v>
      </c>
      <c r="C216">
        <f>IF('tips dataset'!$B216="Yes",1,0)</f>
        <v>1</v>
      </c>
      <c r="D216">
        <f>IF('tips dataset'!$B216="No",1,0)</f>
        <v>0</v>
      </c>
      <c r="E216">
        <f>IF('tips dataset'!$C216="Sat",1,0)</f>
        <v>0</v>
      </c>
      <c r="F216">
        <f>IF('tips dataset'!$C216="fri",1,0)</f>
        <v>0</v>
      </c>
      <c r="G216">
        <f>IF('tips dataset'!$C216="Sun",1,0)</f>
        <v>1</v>
      </c>
      <c r="H216">
        <f>IF('tips dataset'!$D216="Lunch",1,0)</f>
        <v>0</v>
      </c>
      <c r="I216">
        <f>IF('tips dataset'!$D216="Dinner",1,0)</f>
        <v>1</v>
      </c>
      <c r="J216">
        <f>'tips dataset'!$E216</f>
        <v>5</v>
      </c>
      <c r="K216">
        <v>12.9</v>
      </c>
      <c r="L216">
        <v>1.1000000000000001</v>
      </c>
      <c r="M216" s="12">
        <f t="shared" si="12"/>
        <v>8.5271317829457363E-2</v>
      </c>
      <c r="N216" s="11">
        <f t="shared" si="13"/>
        <v>2.58</v>
      </c>
      <c r="O216" s="11">
        <f t="shared" si="14"/>
        <v>0.22000000000000003</v>
      </c>
      <c r="P216">
        <f>IF('tips dataset'!$C216="thur",1,0)</f>
        <v>0</v>
      </c>
      <c r="Q216" t="str">
        <f t="shared" si="15"/>
        <v>Low</v>
      </c>
    </row>
    <row r="217" spans="1:17" x14ac:dyDescent="0.3">
      <c r="A217">
        <f>IF('tips dataset'!$A217="Male",1,0)</f>
        <v>1</v>
      </c>
      <c r="B217">
        <f>IF('tips dataset'!$A217="Female",1,0)</f>
        <v>0</v>
      </c>
      <c r="C217">
        <f>IF('tips dataset'!$B217="Yes",1,0)</f>
        <v>0</v>
      </c>
      <c r="D217">
        <f>IF('tips dataset'!$B217="No",1,0)</f>
        <v>1</v>
      </c>
      <c r="E217">
        <f>IF('tips dataset'!$C217="Sat",1,0)</f>
        <v>1</v>
      </c>
      <c r="F217">
        <f>IF('tips dataset'!$C217="fri",1,0)</f>
        <v>0</v>
      </c>
      <c r="G217">
        <f>IF('tips dataset'!$C217="Sun",1,0)</f>
        <v>0</v>
      </c>
      <c r="H217">
        <f>IF('tips dataset'!$D217="Lunch",1,0)</f>
        <v>0</v>
      </c>
      <c r="I217">
        <f>IF('tips dataset'!$D217="Dinner",1,0)</f>
        <v>1</v>
      </c>
      <c r="J217">
        <f>'tips dataset'!$E217</f>
        <v>3</v>
      </c>
      <c r="K217">
        <v>28.15</v>
      </c>
      <c r="L217">
        <v>3</v>
      </c>
      <c r="M217" s="12">
        <f t="shared" si="12"/>
        <v>0.10657193605683837</v>
      </c>
      <c r="N217" s="11">
        <f t="shared" si="13"/>
        <v>9.3833333333333329</v>
      </c>
      <c r="O217" s="11">
        <f t="shared" si="14"/>
        <v>1</v>
      </c>
      <c r="P217">
        <f>IF('tips dataset'!$C217="thur",1,0)</f>
        <v>0</v>
      </c>
      <c r="Q217" t="str">
        <f t="shared" si="15"/>
        <v>High</v>
      </c>
    </row>
    <row r="218" spans="1:17" x14ac:dyDescent="0.3">
      <c r="A218">
        <f>IF('tips dataset'!$A218="Male",1,0)</f>
        <v>1</v>
      </c>
      <c r="B218">
        <f>IF('tips dataset'!$A218="Female",1,0)</f>
        <v>0</v>
      </c>
      <c r="C218">
        <f>IF('tips dataset'!$B218="Yes",1,0)</f>
        <v>0</v>
      </c>
      <c r="D218">
        <f>IF('tips dataset'!$B218="No",1,0)</f>
        <v>1</v>
      </c>
      <c r="E218">
        <f>IF('tips dataset'!$C218="Sat",1,0)</f>
        <v>0</v>
      </c>
      <c r="F218">
        <f>IF('tips dataset'!$C218="fri",1,0)</f>
        <v>0</v>
      </c>
      <c r="G218">
        <f>IF('tips dataset'!$C218="Sun",1,0)</f>
        <v>1</v>
      </c>
      <c r="H218">
        <f>IF('tips dataset'!$D218="Lunch",1,0)</f>
        <v>0</v>
      </c>
      <c r="I218">
        <f>IF('tips dataset'!$D218="Dinner",1,0)</f>
        <v>1</v>
      </c>
      <c r="J218">
        <f>'tips dataset'!$E218</f>
        <v>4</v>
      </c>
      <c r="K218">
        <v>11.59</v>
      </c>
      <c r="L218">
        <v>1.5</v>
      </c>
      <c r="M218" s="12">
        <f t="shared" si="12"/>
        <v>0.12942191544434858</v>
      </c>
      <c r="N218" s="11">
        <f t="shared" si="13"/>
        <v>2.8975</v>
      </c>
      <c r="O218" s="11">
        <f t="shared" si="14"/>
        <v>0.375</v>
      </c>
      <c r="P218">
        <f>IF('tips dataset'!$C218="thur",1,0)</f>
        <v>0</v>
      </c>
      <c r="Q218" t="str">
        <f t="shared" si="15"/>
        <v>Low</v>
      </c>
    </row>
    <row r="219" spans="1:17" x14ac:dyDescent="0.3">
      <c r="A219">
        <f>IF('tips dataset'!$A219="Male",1,0)</f>
        <v>1</v>
      </c>
      <c r="B219">
        <f>IF('tips dataset'!$A219="Female",1,0)</f>
        <v>0</v>
      </c>
      <c r="C219">
        <f>IF('tips dataset'!$B219="Yes",1,0)</f>
        <v>1</v>
      </c>
      <c r="D219">
        <f>IF('tips dataset'!$B219="No",1,0)</f>
        <v>0</v>
      </c>
      <c r="E219">
        <f>IF('tips dataset'!$C219="Sat",1,0)</f>
        <v>0</v>
      </c>
      <c r="F219">
        <f>IF('tips dataset'!$C219="fri",1,0)</f>
        <v>0</v>
      </c>
      <c r="G219">
        <f>IF('tips dataset'!$C219="Sun",1,0)</f>
        <v>1</v>
      </c>
      <c r="H219">
        <f>IF('tips dataset'!$D219="Lunch",1,0)</f>
        <v>0</v>
      </c>
      <c r="I219">
        <f>IF('tips dataset'!$D219="Dinner",1,0)</f>
        <v>1</v>
      </c>
      <c r="J219">
        <f>'tips dataset'!$E219</f>
        <v>2</v>
      </c>
      <c r="K219">
        <v>7.74</v>
      </c>
      <c r="L219">
        <v>1.44</v>
      </c>
      <c r="M219" s="12">
        <f t="shared" si="12"/>
        <v>0.18604651162790697</v>
      </c>
      <c r="N219" s="11">
        <f t="shared" si="13"/>
        <v>3.87</v>
      </c>
      <c r="O219" s="11">
        <f t="shared" si="14"/>
        <v>0.72</v>
      </c>
      <c r="P219">
        <f>IF('tips dataset'!$C219="thur",1,0)</f>
        <v>0</v>
      </c>
      <c r="Q219" t="str">
        <f t="shared" si="15"/>
        <v>Low</v>
      </c>
    </row>
    <row r="220" spans="1:17" x14ac:dyDescent="0.3">
      <c r="A220">
        <f>IF('tips dataset'!$A220="Male",1,0)</f>
        <v>1</v>
      </c>
      <c r="B220">
        <f>IF('tips dataset'!$A220="Female",1,0)</f>
        <v>0</v>
      </c>
      <c r="C220">
        <f>IF('tips dataset'!$B220="Yes",1,0)</f>
        <v>0</v>
      </c>
      <c r="D220">
        <f>IF('tips dataset'!$B220="No",1,0)</f>
        <v>1</v>
      </c>
      <c r="E220">
        <f>IF('tips dataset'!$C220="Sat",1,0)</f>
        <v>0</v>
      </c>
      <c r="F220">
        <f>IF('tips dataset'!$C220="fri",1,0)</f>
        <v>0</v>
      </c>
      <c r="G220">
        <f>IF('tips dataset'!$C220="Sun",1,0)</f>
        <v>1</v>
      </c>
      <c r="H220">
        <f>IF('tips dataset'!$D220="Lunch",1,0)</f>
        <v>0</v>
      </c>
      <c r="I220">
        <f>IF('tips dataset'!$D220="Dinner",1,0)</f>
        <v>1</v>
      </c>
      <c r="J220">
        <f>'tips dataset'!$E220</f>
        <v>4</v>
      </c>
      <c r="K220">
        <v>30.14</v>
      </c>
      <c r="L220">
        <v>3.09</v>
      </c>
      <c r="M220" s="12">
        <f t="shared" si="12"/>
        <v>0.10252156602521566</v>
      </c>
      <c r="N220" s="11">
        <f t="shared" si="13"/>
        <v>7.5350000000000001</v>
      </c>
      <c r="O220" s="11">
        <f t="shared" si="14"/>
        <v>0.77249999999999996</v>
      </c>
      <c r="P220">
        <f>IF('tips dataset'!$C220="thur",1,0)</f>
        <v>0</v>
      </c>
      <c r="Q220" t="str">
        <f t="shared" si="15"/>
        <v>High</v>
      </c>
    </row>
    <row r="221" spans="1:17" x14ac:dyDescent="0.3">
      <c r="A221">
        <f>IF('tips dataset'!$A221="Male",1,0)</f>
        <v>1</v>
      </c>
      <c r="B221">
        <f>IF('tips dataset'!$A221="Female",1,0)</f>
        <v>0</v>
      </c>
      <c r="C221">
        <f>IF('tips dataset'!$B221="Yes",1,0)</f>
        <v>1</v>
      </c>
      <c r="D221">
        <f>IF('tips dataset'!$B221="No",1,0)</f>
        <v>0</v>
      </c>
      <c r="E221">
        <f>IF('tips dataset'!$C221="Sat",1,0)</f>
        <v>0</v>
      </c>
      <c r="F221">
        <f>IF('tips dataset'!$C221="fri",1,0)</f>
        <v>0</v>
      </c>
      <c r="G221">
        <f>IF('tips dataset'!$C221="Sun",1,0)</f>
        <v>0</v>
      </c>
      <c r="H221">
        <f>IF('tips dataset'!$D221="Lunch",1,0)</f>
        <v>1</v>
      </c>
      <c r="I221">
        <f>IF('tips dataset'!$D221="Dinner",1,0)</f>
        <v>0</v>
      </c>
      <c r="J221">
        <f>'tips dataset'!$E221</f>
        <v>2</v>
      </c>
      <c r="K221">
        <v>12.16</v>
      </c>
      <c r="L221">
        <v>2.2000000000000002</v>
      </c>
      <c r="M221" s="12">
        <f t="shared" si="12"/>
        <v>0.18092105263157895</v>
      </c>
      <c r="N221" s="11">
        <f t="shared" si="13"/>
        <v>6.08</v>
      </c>
      <c r="O221" s="11">
        <f t="shared" si="14"/>
        <v>1.1000000000000001</v>
      </c>
      <c r="P221">
        <f>IF('tips dataset'!$C221="thur",1,0)</f>
        <v>1</v>
      </c>
      <c r="Q221" t="str">
        <f t="shared" si="15"/>
        <v>Low</v>
      </c>
    </row>
    <row r="222" spans="1:17" x14ac:dyDescent="0.3">
      <c r="A222">
        <f>IF('tips dataset'!$A222="Male",1,0)</f>
        <v>1</v>
      </c>
      <c r="B222">
        <f>IF('tips dataset'!$A222="Female",1,0)</f>
        <v>0</v>
      </c>
      <c r="C222">
        <f>IF('tips dataset'!$B222="Yes",1,0)</f>
        <v>1</v>
      </c>
      <c r="D222">
        <f>IF('tips dataset'!$B222="No",1,0)</f>
        <v>0</v>
      </c>
      <c r="E222">
        <f>IF('tips dataset'!$C222="Sat",1,0)</f>
        <v>1</v>
      </c>
      <c r="F222">
        <f>IF('tips dataset'!$C222="fri",1,0)</f>
        <v>0</v>
      </c>
      <c r="G222">
        <f>IF('tips dataset'!$C222="Sun",1,0)</f>
        <v>0</v>
      </c>
      <c r="H222">
        <f>IF('tips dataset'!$D222="Lunch",1,0)</f>
        <v>0</v>
      </c>
      <c r="I222">
        <f>IF('tips dataset'!$D222="Dinner",1,0)</f>
        <v>1</v>
      </c>
      <c r="J222">
        <f>'tips dataset'!$E222</f>
        <v>2</v>
      </c>
      <c r="K222">
        <v>13.42</v>
      </c>
      <c r="L222">
        <v>3.48</v>
      </c>
      <c r="M222" s="12">
        <f t="shared" si="12"/>
        <v>0.25931445603576753</v>
      </c>
      <c r="N222" s="11">
        <f t="shared" si="13"/>
        <v>6.71</v>
      </c>
      <c r="O222" s="11">
        <f t="shared" si="14"/>
        <v>1.74</v>
      </c>
      <c r="P222">
        <f>IF('tips dataset'!$C222="thur",1,0)</f>
        <v>0</v>
      </c>
      <c r="Q222" t="str">
        <f t="shared" si="15"/>
        <v>Low</v>
      </c>
    </row>
    <row r="223" spans="1:17" x14ac:dyDescent="0.3">
      <c r="A223">
        <f>IF('tips dataset'!$A223="Male",1,0)</f>
        <v>1</v>
      </c>
      <c r="B223">
        <f>IF('tips dataset'!$A223="Female",1,0)</f>
        <v>0</v>
      </c>
      <c r="C223">
        <f>IF('tips dataset'!$B223="Yes",1,0)</f>
        <v>1</v>
      </c>
      <c r="D223">
        <f>IF('tips dataset'!$B223="No",1,0)</f>
        <v>0</v>
      </c>
      <c r="E223">
        <f>IF('tips dataset'!$C223="Sat",1,0)</f>
        <v>0</v>
      </c>
      <c r="F223">
        <f>IF('tips dataset'!$C223="fri",1,0)</f>
        <v>0</v>
      </c>
      <c r="G223">
        <f>IF('tips dataset'!$C223="Sun",1,0)</f>
        <v>1</v>
      </c>
      <c r="H223">
        <f>IF('tips dataset'!$D223="Lunch",1,0)</f>
        <v>0</v>
      </c>
      <c r="I223">
        <f>IF('tips dataset'!$D223="Dinner",1,0)</f>
        <v>1</v>
      </c>
      <c r="J223">
        <f>'tips dataset'!$E223</f>
        <v>2</v>
      </c>
      <c r="K223">
        <v>8.58</v>
      </c>
      <c r="L223">
        <v>1.92</v>
      </c>
      <c r="M223" s="12">
        <f t="shared" si="12"/>
        <v>0.22377622377622378</v>
      </c>
      <c r="N223" s="11">
        <f t="shared" si="13"/>
        <v>4.29</v>
      </c>
      <c r="O223" s="11">
        <f t="shared" si="14"/>
        <v>0.96</v>
      </c>
      <c r="P223">
        <f>IF('tips dataset'!$C223="thur",1,0)</f>
        <v>0</v>
      </c>
      <c r="Q223" t="str">
        <f t="shared" si="15"/>
        <v>Low</v>
      </c>
    </row>
    <row r="224" spans="1:17" x14ac:dyDescent="0.3">
      <c r="A224">
        <f>IF('tips dataset'!$A224="Male",1,0)</f>
        <v>1</v>
      </c>
      <c r="B224">
        <f>IF('tips dataset'!$A224="Female",1,0)</f>
        <v>0</v>
      </c>
      <c r="C224">
        <f>IF('tips dataset'!$B224="Yes",1,0)</f>
        <v>0</v>
      </c>
      <c r="D224">
        <f>IF('tips dataset'!$B224="No",1,0)</f>
        <v>1</v>
      </c>
      <c r="E224">
        <f>IF('tips dataset'!$C224="Sat",1,0)</f>
        <v>0</v>
      </c>
      <c r="F224">
        <f>IF('tips dataset'!$C224="fri",1,0)</f>
        <v>0</v>
      </c>
      <c r="G224">
        <f>IF('tips dataset'!$C224="Sun",1,0)</f>
        <v>0</v>
      </c>
      <c r="H224">
        <f>IF('tips dataset'!$D224="Lunch",1,0)</f>
        <v>1</v>
      </c>
      <c r="I224">
        <f>IF('tips dataset'!$D224="Dinner",1,0)</f>
        <v>0</v>
      </c>
      <c r="J224">
        <f>'tips dataset'!$E224</f>
        <v>6</v>
      </c>
      <c r="K224">
        <v>15.98</v>
      </c>
      <c r="L224">
        <v>3</v>
      </c>
      <c r="M224" s="12">
        <f t="shared" si="12"/>
        <v>0.18773466833541927</v>
      </c>
      <c r="N224" s="11">
        <f t="shared" si="13"/>
        <v>2.6633333333333336</v>
      </c>
      <c r="O224" s="11">
        <f t="shared" si="14"/>
        <v>0.5</v>
      </c>
      <c r="P224">
        <f>IF('tips dataset'!$C224="thur",1,0)</f>
        <v>1</v>
      </c>
      <c r="Q224" t="str">
        <f t="shared" si="15"/>
        <v>Medium</v>
      </c>
    </row>
    <row r="225" spans="1:17" x14ac:dyDescent="0.3">
      <c r="A225">
        <f>IF('tips dataset'!$A225="Male",1,0)</f>
        <v>1</v>
      </c>
      <c r="B225">
        <f>IF('tips dataset'!$A225="Female",1,0)</f>
        <v>0</v>
      </c>
      <c r="C225">
        <f>IF('tips dataset'!$B225="Yes",1,0)</f>
        <v>1</v>
      </c>
      <c r="D225">
        <f>IF('tips dataset'!$B225="No",1,0)</f>
        <v>0</v>
      </c>
      <c r="E225">
        <f>IF('tips dataset'!$C225="Sat",1,0)</f>
        <v>0</v>
      </c>
      <c r="F225">
        <f>IF('tips dataset'!$C225="fri",1,0)</f>
        <v>0</v>
      </c>
      <c r="G225">
        <f>IF('tips dataset'!$C225="Sun",1,0)</f>
        <v>1</v>
      </c>
      <c r="H225">
        <f>IF('tips dataset'!$D225="Lunch",1,0)</f>
        <v>0</v>
      </c>
      <c r="I225">
        <f>IF('tips dataset'!$D225="Dinner",1,0)</f>
        <v>1</v>
      </c>
      <c r="J225">
        <f>'tips dataset'!$E225</f>
        <v>2</v>
      </c>
      <c r="K225">
        <v>13.42</v>
      </c>
      <c r="L225">
        <v>1.58</v>
      </c>
      <c r="M225" s="12">
        <f t="shared" si="12"/>
        <v>0.11773472429210134</v>
      </c>
      <c r="N225" s="11">
        <f t="shared" si="13"/>
        <v>6.71</v>
      </c>
      <c r="O225" s="11">
        <f t="shared" si="14"/>
        <v>0.79</v>
      </c>
      <c r="P225">
        <f>IF('tips dataset'!$C225="thur",1,0)</f>
        <v>0</v>
      </c>
      <c r="Q225" t="str">
        <f t="shared" si="15"/>
        <v>Low</v>
      </c>
    </row>
    <row r="226" spans="1:17" x14ac:dyDescent="0.3">
      <c r="A226">
        <f>IF('tips dataset'!$A226="Male",1,0)</f>
        <v>1</v>
      </c>
      <c r="B226">
        <f>IF('tips dataset'!$A226="Female",1,0)</f>
        <v>0</v>
      </c>
      <c r="C226">
        <f>IF('tips dataset'!$B226="Yes",1,0)</f>
        <v>1</v>
      </c>
      <c r="D226">
        <f>IF('tips dataset'!$B226="No",1,0)</f>
        <v>0</v>
      </c>
      <c r="E226">
        <f>IF('tips dataset'!$C226="Sat",1,0)</f>
        <v>0</v>
      </c>
      <c r="F226">
        <f>IF('tips dataset'!$C226="fri",1,0)</f>
        <v>0</v>
      </c>
      <c r="G226">
        <f>IF('tips dataset'!$C226="Sun",1,0)</f>
        <v>1</v>
      </c>
      <c r="H226">
        <f>IF('tips dataset'!$D226="Lunch",1,0)</f>
        <v>0</v>
      </c>
      <c r="I226">
        <f>IF('tips dataset'!$D226="Dinner",1,0)</f>
        <v>1</v>
      </c>
      <c r="J226">
        <f>'tips dataset'!$E226</f>
        <v>4</v>
      </c>
      <c r="K226">
        <v>16.27</v>
      </c>
      <c r="L226">
        <v>2.5</v>
      </c>
      <c r="M226" s="12">
        <f t="shared" si="12"/>
        <v>0.15365703749231716</v>
      </c>
      <c r="N226" s="11">
        <f t="shared" si="13"/>
        <v>4.0674999999999999</v>
      </c>
      <c r="O226" s="11">
        <f t="shared" si="14"/>
        <v>0.625</v>
      </c>
      <c r="P226">
        <f>IF('tips dataset'!$C226="thur",1,0)</f>
        <v>0</v>
      </c>
      <c r="Q226" t="str">
        <f t="shared" si="15"/>
        <v>Medium</v>
      </c>
    </row>
    <row r="227" spans="1:17" x14ac:dyDescent="0.3">
      <c r="A227">
        <f>IF('tips dataset'!$A227="Male",1,0)</f>
        <v>0</v>
      </c>
      <c r="B227">
        <f>IF('tips dataset'!$A227="Female",1,0)</f>
        <v>1</v>
      </c>
      <c r="C227">
        <f>IF('tips dataset'!$B227="Yes",1,0)</f>
        <v>0</v>
      </c>
      <c r="D227">
        <f>IF('tips dataset'!$B227="No",1,0)</f>
        <v>1</v>
      </c>
      <c r="E227">
        <f>IF('tips dataset'!$C227="Sat",1,0)</f>
        <v>0</v>
      </c>
      <c r="F227">
        <f>IF('tips dataset'!$C227="fri",1,0)</f>
        <v>0</v>
      </c>
      <c r="G227">
        <f>IF('tips dataset'!$C227="Sun",1,0)</f>
        <v>1</v>
      </c>
      <c r="H227">
        <f>IF('tips dataset'!$D227="Lunch",1,0)</f>
        <v>0</v>
      </c>
      <c r="I227">
        <f>IF('tips dataset'!$D227="Dinner",1,0)</f>
        <v>1</v>
      </c>
      <c r="J227">
        <f>'tips dataset'!$E227</f>
        <v>4</v>
      </c>
      <c r="K227">
        <v>10.09</v>
      </c>
      <c r="L227">
        <v>2</v>
      </c>
      <c r="M227" s="12">
        <f t="shared" si="12"/>
        <v>0.19821605550049554</v>
      </c>
      <c r="N227" s="11">
        <f t="shared" si="13"/>
        <v>2.5225</v>
      </c>
      <c r="O227" s="11">
        <f t="shared" si="14"/>
        <v>0.5</v>
      </c>
      <c r="P227">
        <f>IF('tips dataset'!$C227="thur",1,0)</f>
        <v>0</v>
      </c>
      <c r="Q227" t="str">
        <f t="shared" si="15"/>
        <v>Low</v>
      </c>
    </row>
    <row r="228" spans="1:17" x14ac:dyDescent="0.3">
      <c r="A228">
        <f>IF('tips dataset'!$A228="Male",1,0)</f>
        <v>0</v>
      </c>
      <c r="B228">
        <f>IF('tips dataset'!$A228="Female",1,0)</f>
        <v>1</v>
      </c>
      <c r="C228">
        <f>IF('tips dataset'!$B228="Yes",1,0)</f>
        <v>0</v>
      </c>
      <c r="D228">
        <f>IF('tips dataset'!$B228="No",1,0)</f>
        <v>1</v>
      </c>
      <c r="E228">
        <f>IF('tips dataset'!$C228="Sat",1,0)</f>
        <v>0</v>
      </c>
      <c r="F228">
        <f>IF('tips dataset'!$C228="fri",1,0)</f>
        <v>0</v>
      </c>
      <c r="G228">
        <f>IF('tips dataset'!$C228="Sun",1,0)</f>
        <v>0</v>
      </c>
      <c r="H228">
        <f>IF('tips dataset'!$D228="Lunch",1,0)</f>
        <v>1</v>
      </c>
      <c r="I228">
        <f>IF('tips dataset'!$D228="Dinner",1,0)</f>
        <v>0</v>
      </c>
      <c r="J228">
        <f>'tips dataset'!$E228</f>
        <v>4</v>
      </c>
      <c r="K228">
        <v>20.45</v>
      </c>
      <c r="L228">
        <v>3</v>
      </c>
      <c r="M228" s="12">
        <f t="shared" si="12"/>
        <v>0.14669926650366749</v>
      </c>
      <c r="N228" s="11">
        <f t="shared" si="13"/>
        <v>5.1124999999999998</v>
      </c>
      <c r="O228" s="11">
        <f t="shared" si="14"/>
        <v>0.75</v>
      </c>
      <c r="P228">
        <f>IF('tips dataset'!$C228="thur",1,0)</f>
        <v>1</v>
      </c>
      <c r="Q228" t="str">
        <f t="shared" si="15"/>
        <v>Medium</v>
      </c>
    </row>
    <row r="229" spans="1:17" x14ac:dyDescent="0.3">
      <c r="A229">
        <f>IF('tips dataset'!$A229="Male",1,0)</f>
        <v>0</v>
      </c>
      <c r="B229">
        <f>IF('tips dataset'!$A229="Female",1,0)</f>
        <v>1</v>
      </c>
      <c r="C229">
        <f>IF('tips dataset'!$B229="Yes",1,0)</f>
        <v>0</v>
      </c>
      <c r="D229">
        <f>IF('tips dataset'!$B229="No",1,0)</f>
        <v>1</v>
      </c>
      <c r="E229">
        <f>IF('tips dataset'!$C229="Sat",1,0)</f>
        <v>0</v>
      </c>
      <c r="F229">
        <f>IF('tips dataset'!$C229="fri",1,0)</f>
        <v>0</v>
      </c>
      <c r="G229">
        <f>IF('tips dataset'!$C229="Sun",1,0)</f>
        <v>1</v>
      </c>
      <c r="H229">
        <f>IF('tips dataset'!$D229="Lunch",1,0)</f>
        <v>0</v>
      </c>
      <c r="I229">
        <f>IF('tips dataset'!$D229="Dinner",1,0)</f>
        <v>1</v>
      </c>
      <c r="J229">
        <f>'tips dataset'!$E229</f>
        <v>4</v>
      </c>
      <c r="K229">
        <v>13.28</v>
      </c>
      <c r="L229">
        <v>2.72</v>
      </c>
      <c r="M229" s="12">
        <f t="shared" si="12"/>
        <v>0.20481927710843376</v>
      </c>
      <c r="N229" s="11">
        <f t="shared" si="13"/>
        <v>3.32</v>
      </c>
      <c r="O229" s="11">
        <f t="shared" si="14"/>
        <v>0.68</v>
      </c>
      <c r="P229">
        <f>IF('tips dataset'!$C229="thur",1,0)</f>
        <v>0</v>
      </c>
      <c r="Q229" t="str">
        <f t="shared" si="15"/>
        <v>Low</v>
      </c>
    </row>
    <row r="230" spans="1:17" x14ac:dyDescent="0.3">
      <c r="A230">
        <f>IF('tips dataset'!$A230="Male",1,0)</f>
        <v>0</v>
      </c>
      <c r="B230">
        <f>IF('tips dataset'!$A230="Female",1,0)</f>
        <v>1</v>
      </c>
      <c r="C230">
        <f>IF('tips dataset'!$B230="Yes",1,0)</f>
        <v>0</v>
      </c>
      <c r="D230">
        <f>IF('tips dataset'!$B230="No",1,0)</f>
        <v>1</v>
      </c>
      <c r="E230">
        <f>IF('tips dataset'!$C230="Sat",1,0)</f>
        <v>1</v>
      </c>
      <c r="F230">
        <f>IF('tips dataset'!$C230="fri",1,0)</f>
        <v>0</v>
      </c>
      <c r="G230">
        <f>IF('tips dataset'!$C230="Sun",1,0)</f>
        <v>0</v>
      </c>
      <c r="H230">
        <f>IF('tips dataset'!$D230="Lunch",1,0)</f>
        <v>0</v>
      </c>
      <c r="I230">
        <f>IF('tips dataset'!$D230="Dinner",1,0)</f>
        <v>1</v>
      </c>
      <c r="J230">
        <f>'tips dataset'!$E230</f>
        <v>3</v>
      </c>
      <c r="K230">
        <v>22.12</v>
      </c>
      <c r="L230">
        <v>2.88</v>
      </c>
      <c r="M230" s="12">
        <f t="shared" si="12"/>
        <v>0.13019891500904157</v>
      </c>
      <c r="N230" s="11">
        <f t="shared" si="13"/>
        <v>7.373333333333334</v>
      </c>
      <c r="O230" s="11">
        <f t="shared" si="14"/>
        <v>0.96</v>
      </c>
      <c r="P230">
        <f>IF('tips dataset'!$C230="thur",1,0)</f>
        <v>0</v>
      </c>
      <c r="Q230" t="str">
        <f t="shared" si="15"/>
        <v>Medium</v>
      </c>
    </row>
    <row r="231" spans="1:17" x14ac:dyDescent="0.3">
      <c r="A231">
        <f>IF('tips dataset'!$A231="Male",1,0)</f>
        <v>1</v>
      </c>
      <c r="B231">
        <f>IF('tips dataset'!$A231="Female",1,0)</f>
        <v>0</v>
      </c>
      <c r="C231">
        <f>IF('tips dataset'!$B231="Yes",1,0)</f>
        <v>1</v>
      </c>
      <c r="D231">
        <f>IF('tips dataset'!$B231="No",1,0)</f>
        <v>0</v>
      </c>
      <c r="E231">
        <f>IF('tips dataset'!$C231="Sat",1,0)</f>
        <v>1</v>
      </c>
      <c r="F231">
        <f>IF('tips dataset'!$C231="fri",1,0)</f>
        <v>0</v>
      </c>
      <c r="G231">
        <f>IF('tips dataset'!$C231="Sun",1,0)</f>
        <v>0</v>
      </c>
      <c r="H231">
        <f>IF('tips dataset'!$D231="Lunch",1,0)</f>
        <v>0</v>
      </c>
      <c r="I231">
        <f>IF('tips dataset'!$D231="Dinner",1,0)</f>
        <v>1</v>
      </c>
      <c r="J231">
        <f>'tips dataset'!$E231</f>
        <v>4</v>
      </c>
      <c r="K231">
        <v>24.01</v>
      </c>
      <c r="L231">
        <v>2</v>
      </c>
      <c r="M231" s="12">
        <f t="shared" si="12"/>
        <v>8.3298625572678045E-2</v>
      </c>
      <c r="N231" s="11">
        <f t="shared" si="13"/>
        <v>6.0025000000000004</v>
      </c>
      <c r="O231" s="11">
        <f t="shared" si="14"/>
        <v>0.5</v>
      </c>
      <c r="P231">
        <f>IF('tips dataset'!$C231="thur",1,0)</f>
        <v>0</v>
      </c>
      <c r="Q231" t="str">
        <f t="shared" si="15"/>
        <v>Medium</v>
      </c>
    </row>
    <row r="232" spans="1:17" x14ac:dyDescent="0.3">
      <c r="A232">
        <f>IF('tips dataset'!$A232="Male",1,0)</f>
        <v>1</v>
      </c>
      <c r="B232">
        <f>IF('tips dataset'!$A232="Female",1,0)</f>
        <v>0</v>
      </c>
      <c r="C232">
        <f>IF('tips dataset'!$B232="Yes",1,0)</f>
        <v>0</v>
      </c>
      <c r="D232">
        <f>IF('tips dataset'!$B232="No",1,0)</f>
        <v>1</v>
      </c>
      <c r="E232">
        <f>IF('tips dataset'!$C232="Sat",1,0)</f>
        <v>0</v>
      </c>
      <c r="F232">
        <f>IF('tips dataset'!$C232="fri",1,0)</f>
        <v>0</v>
      </c>
      <c r="G232">
        <f>IF('tips dataset'!$C232="Sun",1,0)</f>
        <v>1</v>
      </c>
      <c r="H232">
        <f>IF('tips dataset'!$D232="Lunch",1,0)</f>
        <v>0</v>
      </c>
      <c r="I232">
        <f>IF('tips dataset'!$D232="Dinner",1,0)</f>
        <v>1</v>
      </c>
      <c r="J232">
        <f>'tips dataset'!$E232</f>
        <v>3</v>
      </c>
      <c r="K232">
        <v>15.69</v>
      </c>
      <c r="L232">
        <v>3</v>
      </c>
      <c r="M232" s="12">
        <f t="shared" si="12"/>
        <v>0.19120458891013384</v>
      </c>
      <c r="N232" s="11">
        <f t="shared" si="13"/>
        <v>5.2299999999999995</v>
      </c>
      <c r="O232" s="11">
        <f t="shared" si="14"/>
        <v>1</v>
      </c>
      <c r="P232">
        <f>IF('tips dataset'!$C232="thur",1,0)</f>
        <v>0</v>
      </c>
      <c r="Q232" t="str">
        <f t="shared" si="15"/>
        <v>Medium</v>
      </c>
    </row>
    <row r="233" spans="1:17" x14ac:dyDescent="0.3">
      <c r="A233">
        <f>IF('tips dataset'!$A233="Male",1,0)</f>
        <v>1</v>
      </c>
      <c r="B233">
        <f>IF('tips dataset'!$A233="Female",1,0)</f>
        <v>0</v>
      </c>
      <c r="C233">
        <f>IF('tips dataset'!$B233="Yes",1,0)</f>
        <v>1</v>
      </c>
      <c r="D233">
        <f>IF('tips dataset'!$B233="No",1,0)</f>
        <v>0</v>
      </c>
      <c r="E233">
        <f>IF('tips dataset'!$C233="Sat",1,0)</f>
        <v>1</v>
      </c>
      <c r="F233">
        <f>IF('tips dataset'!$C233="fri",1,0)</f>
        <v>0</v>
      </c>
      <c r="G233">
        <f>IF('tips dataset'!$C233="Sun",1,0)</f>
        <v>0</v>
      </c>
      <c r="H233">
        <f>IF('tips dataset'!$D233="Lunch",1,0)</f>
        <v>0</v>
      </c>
      <c r="I233">
        <f>IF('tips dataset'!$D233="Dinner",1,0)</f>
        <v>1</v>
      </c>
      <c r="J233">
        <f>'tips dataset'!$E233</f>
        <v>4</v>
      </c>
      <c r="K233">
        <v>11.61</v>
      </c>
      <c r="L233">
        <v>3.39</v>
      </c>
      <c r="M233" s="12">
        <f t="shared" si="12"/>
        <v>0.29198966408268734</v>
      </c>
      <c r="N233" s="11">
        <f t="shared" si="13"/>
        <v>2.9024999999999999</v>
      </c>
      <c r="O233" s="11">
        <f t="shared" si="14"/>
        <v>0.84750000000000003</v>
      </c>
      <c r="P233">
        <f>IF('tips dataset'!$C233="thur",1,0)</f>
        <v>0</v>
      </c>
      <c r="Q233" t="str">
        <f t="shared" si="15"/>
        <v>Low</v>
      </c>
    </row>
    <row r="234" spans="1:17" x14ac:dyDescent="0.3">
      <c r="A234">
        <f>IF('tips dataset'!$A234="Male",1,0)</f>
        <v>1</v>
      </c>
      <c r="B234">
        <f>IF('tips dataset'!$A234="Female",1,0)</f>
        <v>0</v>
      </c>
      <c r="C234">
        <f>IF('tips dataset'!$B234="Yes",1,0)</f>
        <v>0</v>
      </c>
      <c r="D234">
        <f>IF('tips dataset'!$B234="No",1,0)</f>
        <v>1</v>
      </c>
      <c r="E234">
        <f>IF('tips dataset'!$C234="Sat",1,0)</f>
        <v>1</v>
      </c>
      <c r="F234">
        <f>IF('tips dataset'!$C234="fri",1,0)</f>
        <v>0</v>
      </c>
      <c r="G234">
        <f>IF('tips dataset'!$C234="Sun",1,0)</f>
        <v>0</v>
      </c>
      <c r="H234">
        <f>IF('tips dataset'!$D234="Lunch",1,0)</f>
        <v>0</v>
      </c>
      <c r="I234">
        <f>IF('tips dataset'!$D234="Dinner",1,0)</f>
        <v>1</v>
      </c>
      <c r="J234">
        <f>'tips dataset'!$E234</f>
        <v>4</v>
      </c>
      <c r="K234">
        <v>10.77</v>
      </c>
      <c r="L234">
        <v>1.47</v>
      </c>
      <c r="M234" s="12">
        <f t="shared" si="12"/>
        <v>0.13649025069637882</v>
      </c>
      <c r="N234" s="11">
        <f t="shared" si="13"/>
        <v>2.6924999999999999</v>
      </c>
      <c r="O234" s="11">
        <f t="shared" si="14"/>
        <v>0.36749999999999999</v>
      </c>
      <c r="P234">
        <f>IF('tips dataset'!$C234="thur",1,0)</f>
        <v>0</v>
      </c>
      <c r="Q234" t="str">
        <f t="shared" si="15"/>
        <v>Low</v>
      </c>
    </row>
    <row r="235" spans="1:17" x14ac:dyDescent="0.3">
      <c r="A235">
        <f>IF('tips dataset'!$A235="Male",1,0)</f>
        <v>1</v>
      </c>
      <c r="B235">
        <f>IF('tips dataset'!$A235="Female",1,0)</f>
        <v>0</v>
      </c>
      <c r="C235">
        <f>IF('tips dataset'!$B235="Yes",1,0)</f>
        <v>1</v>
      </c>
      <c r="D235">
        <f>IF('tips dataset'!$B235="No",1,0)</f>
        <v>0</v>
      </c>
      <c r="E235">
        <f>IF('tips dataset'!$C235="Sat",1,0)</f>
        <v>0</v>
      </c>
      <c r="F235">
        <f>IF('tips dataset'!$C235="fri",1,0)</f>
        <v>1</v>
      </c>
      <c r="G235">
        <f>IF('tips dataset'!$C235="Sun",1,0)</f>
        <v>0</v>
      </c>
      <c r="H235">
        <f>IF('tips dataset'!$D235="Lunch",1,0)</f>
        <v>0</v>
      </c>
      <c r="I235">
        <f>IF('tips dataset'!$D235="Dinner",1,0)</f>
        <v>1</v>
      </c>
      <c r="J235">
        <f>'tips dataset'!$E235</f>
        <v>4</v>
      </c>
      <c r="K235">
        <v>15.53</v>
      </c>
      <c r="L235">
        <v>3</v>
      </c>
      <c r="M235" s="12">
        <f t="shared" si="12"/>
        <v>0.19317450096587252</v>
      </c>
      <c r="N235" s="11">
        <f t="shared" si="13"/>
        <v>3.8824999999999998</v>
      </c>
      <c r="O235" s="11">
        <f t="shared" si="14"/>
        <v>0.75</v>
      </c>
      <c r="P235">
        <f>IF('tips dataset'!$C235="thur",1,0)</f>
        <v>0</v>
      </c>
      <c r="Q235" t="str">
        <f t="shared" si="15"/>
        <v>Medium</v>
      </c>
    </row>
    <row r="236" spans="1:17" x14ac:dyDescent="0.3">
      <c r="A236">
        <f>IF('tips dataset'!$A236="Male",1,0)</f>
        <v>1</v>
      </c>
      <c r="B236">
        <f>IF('tips dataset'!$A236="Female",1,0)</f>
        <v>0</v>
      </c>
      <c r="C236">
        <f>IF('tips dataset'!$B236="Yes",1,0)</f>
        <v>1</v>
      </c>
      <c r="D236">
        <f>IF('tips dataset'!$B236="No",1,0)</f>
        <v>0</v>
      </c>
      <c r="E236">
        <f>IF('tips dataset'!$C236="Sat",1,0)</f>
        <v>0</v>
      </c>
      <c r="F236">
        <f>IF('tips dataset'!$C236="fri",1,0)</f>
        <v>0</v>
      </c>
      <c r="G236">
        <f>IF('tips dataset'!$C236="Sun",1,0)</f>
        <v>1</v>
      </c>
      <c r="H236">
        <f>IF('tips dataset'!$D236="Lunch",1,0)</f>
        <v>0</v>
      </c>
      <c r="I236">
        <f>IF('tips dataset'!$D236="Dinner",1,0)</f>
        <v>1</v>
      </c>
      <c r="J236">
        <f>'tips dataset'!$E236</f>
        <v>2</v>
      </c>
      <c r="K236">
        <v>10.07</v>
      </c>
      <c r="L236">
        <v>1.25</v>
      </c>
      <c r="M236" s="12">
        <f t="shared" si="12"/>
        <v>0.12413108242303872</v>
      </c>
      <c r="N236" s="11">
        <f t="shared" si="13"/>
        <v>5.0350000000000001</v>
      </c>
      <c r="O236" s="11">
        <f t="shared" si="14"/>
        <v>0.625</v>
      </c>
      <c r="P236">
        <f>IF('tips dataset'!$C236="thur",1,0)</f>
        <v>0</v>
      </c>
      <c r="Q236" t="str">
        <f t="shared" si="15"/>
        <v>Low</v>
      </c>
    </row>
    <row r="237" spans="1:17" x14ac:dyDescent="0.3">
      <c r="A237">
        <f>IF('tips dataset'!$A237="Male",1,0)</f>
        <v>1</v>
      </c>
      <c r="B237">
        <f>IF('tips dataset'!$A237="Female",1,0)</f>
        <v>0</v>
      </c>
      <c r="C237">
        <f>IF('tips dataset'!$B237="Yes",1,0)</f>
        <v>0</v>
      </c>
      <c r="D237">
        <f>IF('tips dataset'!$B237="No",1,0)</f>
        <v>1</v>
      </c>
      <c r="E237">
        <f>IF('tips dataset'!$C237="Sat",1,0)</f>
        <v>0</v>
      </c>
      <c r="F237">
        <f>IF('tips dataset'!$C237="fri",1,0)</f>
        <v>0</v>
      </c>
      <c r="G237">
        <f>IF('tips dataset'!$C237="Sun",1,0)</f>
        <v>0</v>
      </c>
      <c r="H237">
        <f>IF('tips dataset'!$D237="Lunch",1,0)</f>
        <v>1</v>
      </c>
      <c r="I237">
        <f>IF('tips dataset'!$D237="Dinner",1,0)</f>
        <v>0</v>
      </c>
      <c r="J237">
        <f>'tips dataset'!$E237</f>
        <v>5</v>
      </c>
      <c r="K237">
        <v>12.6</v>
      </c>
      <c r="L237">
        <v>1</v>
      </c>
      <c r="M237" s="12">
        <f t="shared" si="12"/>
        <v>7.9365079365079361E-2</v>
      </c>
      <c r="N237" s="11">
        <f t="shared" si="13"/>
        <v>2.52</v>
      </c>
      <c r="O237" s="11">
        <f t="shared" si="14"/>
        <v>0.2</v>
      </c>
      <c r="P237">
        <f>IF('tips dataset'!$C237="thur",1,0)</f>
        <v>1</v>
      </c>
      <c r="Q237" t="str">
        <f t="shared" si="15"/>
        <v>Low</v>
      </c>
    </row>
    <row r="238" spans="1:17" x14ac:dyDescent="0.3">
      <c r="A238">
        <f>IF('tips dataset'!$A238="Male",1,0)</f>
        <v>0</v>
      </c>
      <c r="B238">
        <f>IF('tips dataset'!$A238="Female",1,0)</f>
        <v>1</v>
      </c>
      <c r="C238">
        <f>IF('tips dataset'!$B238="Yes",1,0)</f>
        <v>1</v>
      </c>
      <c r="D238">
        <f>IF('tips dataset'!$B238="No",1,0)</f>
        <v>0</v>
      </c>
      <c r="E238">
        <f>IF('tips dataset'!$C238="Sat",1,0)</f>
        <v>0</v>
      </c>
      <c r="F238">
        <f>IF('tips dataset'!$C238="fri",1,0)</f>
        <v>0</v>
      </c>
      <c r="G238">
        <f>IF('tips dataset'!$C238="Sun",1,0)</f>
        <v>0</v>
      </c>
      <c r="H238">
        <f>IF('tips dataset'!$D238="Lunch",1,0)</f>
        <v>1</v>
      </c>
      <c r="I238">
        <f>IF('tips dataset'!$D238="Dinner",1,0)</f>
        <v>0</v>
      </c>
      <c r="J238">
        <f>'tips dataset'!$E238</f>
        <v>4</v>
      </c>
      <c r="K238">
        <v>32.83</v>
      </c>
      <c r="L238">
        <v>1.17</v>
      </c>
      <c r="M238" s="12">
        <f t="shared" si="12"/>
        <v>3.5638135851355467E-2</v>
      </c>
      <c r="N238" s="11">
        <f t="shared" si="13"/>
        <v>8.2074999999999996</v>
      </c>
      <c r="O238" s="11">
        <f t="shared" si="14"/>
        <v>0.29249999999999998</v>
      </c>
      <c r="P238">
        <f>IF('tips dataset'!$C238="thur",1,0)</f>
        <v>1</v>
      </c>
      <c r="Q238" t="str">
        <f t="shared" si="15"/>
        <v>High</v>
      </c>
    </row>
    <row r="239" spans="1:17" x14ac:dyDescent="0.3">
      <c r="A239">
        <f>IF('tips dataset'!$A239="Male",1,0)</f>
        <v>0</v>
      </c>
      <c r="B239">
        <f>IF('tips dataset'!$A239="Female",1,0)</f>
        <v>1</v>
      </c>
      <c r="C239">
        <f>IF('tips dataset'!$B239="Yes",1,0)</f>
        <v>1</v>
      </c>
      <c r="D239">
        <f>IF('tips dataset'!$B239="No",1,0)</f>
        <v>0</v>
      </c>
      <c r="E239">
        <f>IF('tips dataset'!$C239="Sat",1,0)</f>
        <v>1</v>
      </c>
      <c r="F239">
        <f>IF('tips dataset'!$C239="fri",1,0)</f>
        <v>0</v>
      </c>
      <c r="G239">
        <f>IF('tips dataset'!$C239="Sun",1,0)</f>
        <v>0</v>
      </c>
      <c r="H239">
        <f>IF('tips dataset'!$D239="Lunch",1,0)</f>
        <v>0</v>
      </c>
      <c r="I239">
        <f>IF('tips dataset'!$D239="Dinner",1,0)</f>
        <v>1</v>
      </c>
      <c r="J239">
        <f>'tips dataset'!$E239</f>
        <v>3</v>
      </c>
      <c r="K239">
        <v>35.83</v>
      </c>
      <c r="L239">
        <v>4.67</v>
      </c>
      <c r="M239" s="12">
        <f t="shared" si="12"/>
        <v>0.13033770583310075</v>
      </c>
      <c r="N239" s="11">
        <f t="shared" si="13"/>
        <v>11.943333333333333</v>
      </c>
      <c r="O239" s="11">
        <f t="shared" si="14"/>
        <v>1.5566666666666666</v>
      </c>
      <c r="P239">
        <f>IF('tips dataset'!$C239="thur",1,0)</f>
        <v>0</v>
      </c>
      <c r="Q239" t="str">
        <f t="shared" si="15"/>
        <v>Premium</v>
      </c>
    </row>
    <row r="240" spans="1:17" x14ac:dyDescent="0.3">
      <c r="A240">
        <f>IF('tips dataset'!$A240="Male",1,0)</f>
        <v>1</v>
      </c>
      <c r="B240">
        <f>IF('tips dataset'!$A240="Female",1,0)</f>
        <v>0</v>
      </c>
      <c r="C240">
        <f>IF('tips dataset'!$B240="Yes",1,0)</f>
        <v>1</v>
      </c>
      <c r="D240">
        <f>IF('tips dataset'!$B240="No",1,0)</f>
        <v>0</v>
      </c>
      <c r="E240">
        <f>IF('tips dataset'!$C240="Sat",1,0)</f>
        <v>0</v>
      </c>
      <c r="F240">
        <f>IF('tips dataset'!$C240="fri",1,0)</f>
        <v>0</v>
      </c>
      <c r="G240">
        <f>IF('tips dataset'!$C240="Sun",1,0)</f>
        <v>1</v>
      </c>
      <c r="H240">
        <f>IF('tips dataset'!$D240="Lunch",1,0)</f>
        <v>0</v>
      </c>
      <c r="I240">
        <f>IF('tips dataset'!$D240="Dinner",1,0)</f>
        <v>1</v>
      </c>
      <c r="J240">
        <f>'tips dataset'!$E240</f>
        <v>3</v>
      </c>
      <c r="K240">
        <v>29.03</v>
      </c>
      <c r="L240">
        <v>5.92</v>
      </c>
      <c r="M240" s="12">
        <f t="shared" si="12"/>
        <v>0.20392697209782981</v>
      </c>
      <c r="N240" s="11">
        <f t="shared" si="13"/>
        <v>9.6766666666666676</v>
      </c>
      <c r="O240" s="11">
        <f t="shared" si="14"/>
        <v>1.9733333333333334</v>
      </c>
      <c r="P240">
        <f>IF('tips dataset'!$C240="thur",1,0)</f>
        <v>0</v>
      </c>
      <c r="Q240" t="str">
        <f t="shared" si="15"/>
        <v>High</v>
      </c>
    </row>
    <row r="241" spans="1:17" x14ac:dyDescent="0.3">
      <c r="A241">
        <f>IF('tips dataset'!$A241="Male",1,0)</f>
        <v>1</v>
      </c>
      <c r="B241">
        <f>IF('tips dataset'!$A241="Female",1,0)</f>
        <v>0</v>
      </c>
      <c r="C241">
        <f>IF('tips dataset'!$B241="Yes",1,0)</f>
        <v>0</v>
      </c>
      <c r="D241">
        <f>IF('tips dataset'!$B241="No",1,0)</f>
        <v>1</v>
      </c>
      <c r="E241">
        <f>IF('tips dataset'!$C241="Sat",1,0)</f>
        <v>0</v>
      </c>
      <c r="F241">
        <f>IF('tips dataset'!$C241="fri",1,0)</f>
        <v>0</v>
      </c>
      <c r="G241">
        <f>IF('tips dataset'!$C241="Sun",1,0)</f>
        <v>1</v>
      </c>
      <c r="H241">
        <f>IF('tips dataset'!$D241="Lunch",1,0)</f>
        <v>0</v>
      </c>
      <c r="I241">
        <f>IF('tips dataset'!$D241="Dinner",1,0)</f>
        <v>1</v>
      </c>
      <c r="J241">
        <f>'tips dataset'!$E241</f>
        <v>6</v>
      </c>
      <c r="K241">
        <v>27.18</v>
      </c>
      <c r="L241">
        <v>2</v>
      </c>
      <c r="M241" s="12">
        <f t="shared" si="12"/>
        <v>7.358351729212656E-2</v>
      </c>
      <c r="N241" s="11">
        <f t="shared" si="13"/>
        <v>4.53</v>
      </c>
      <c r="O241" s="11">
        <f t="shared" si="14"/>
        <v>0.33333333333333331</v>
      </c>
      <c r="P241">
        <f>IF('tips dataset'!$C241="thur",1,0)</f>
        <v>0</v>
      </c>
      <c r="Q241" t="str">
        <f t="shared" si="15"/>
        <v>High</v>
      </c>
    </row>
    <row r="242" spans="1:17" x14ac:dyDescent="0.3">
      <c r="A242">
        <f>IF('tips dataset'!$A242="Male",1,0)</f>
        <v>1</v>
      </c>
      <c r="B242">
        <f>IF('tips dataset'!$A242="Female",1,0)</f>
        <v>0</v>
      </c>
      <c r="C242">
        <f>IF('tips dataset'!$B242="Yes",1,0)</f>
        <v>0</v>
      </c>
      <c r="D242">
        <f>IF('tips dataset'!$B242="No",1,0)</f>
        <v>1</v>
      </c>
      <c r="E242">
        <f>IF('tips dataset'!$C242="Sat",1,0)</f>
        <v>1</v>
      </c>
      <c r="F242">
        <f>IF('tips dataset'!$C242="fri",1,0)</f>
        <v>0</v>
      </c>
      <c r="G242">
        <f>IF('tips dataset'!$C242="Sun",1,0)</f>
        <v>0</v>
      </c>
      <c r="H242">
        <f>IF('tips dataset'!$D242="Lunch",1,0)</f>
        <v>0</v>
      </c>
      <c r="I242">
        <f>IF('tips dataset'!$D242="Dinner",1,0)</f>
        <v>1</v>
      </c>
      <c r="J242">
        <f>'tips dataset'!$E242</f>
        <v>4</v>
      </c>
      <c r="K242">
        <v>22.67</v>
      </c>
      <c r="L242">
        <v>2</v>
      </c>
      <c r="M242" s="12">
        <f t="shared" si="12"/>
        <v>8.8222320247022493E-2</v>
      </c>
      <c r="N242" s="11">
        <f t="shared" si="13"/>
        <v>5.6675000000000004</v>
      </c>
      <c r="O242" s="11">
        <f t="shared" si="14"/>
        <v>0.5</v>
      </c>
      <c r="P242">
        <f>IF('tips dataset'!$C242="thur",1,0)</f>
        <v>0</v>
      </c>
      <c r="Q242" t="str">
        <f t="shared" si="15"/>
        <v>Medium</v>
      </c>
    </row>
    <row r="243" spans="1:17" x14ac:dyDescent="0.3">
      <c r="A243">
        <f>IF('tips dataset'!$A243="Male",1,0)</f>
        <v>1</v>
      </c>
      <c r="B243">
        <f>IF('tips dataset'!$A243="Female",1,0)</f>
        <v>0</v>
      </c>
      <c r="C243">
        <f>IF('tips dataset'!$B243="Yes",1,0)</f>
        <v>0</v>
      </c>
      <c r="D243">
        <f>IF('tips dataset'!$B243="No",1,0)</f>
        <v>1</v>
      </c>
      <c r="E243">
        <f>IF('tips dataset'!$C243="Sat",1,0)</f>
        <v>1</v>
      </c>
      <c r="F243">
        <f>IF('tips dataset'!$C243="fri",1,0)</f>
        <v>0</v>
      </c>
      <c r="G243">
        <f>IF('tips dataset'!$C243="Sun",1,0)</f>
        <v>0</v>
      </c>
      <c r="H243">
        <f>IF('tips dataset'!$D243="Lunch",1,0)</f>
        <v>0</v>
      </c>
      <c r="I243">
        <f>IF('tips dataset'!$D243="Dinner",1,0)</f>
        <v>1</v>
      </c>
      <c r="J243">
        <f>'tips dataset'!$E243</f>
        <v>4</v>
      </c>
      <c r="K243">
        <v>17.82</v>
      </c>
      <c r="L243">
        <v>1.75</v>
      </c>
      <c r="M243" s="12">
        <f t="shared" si="12"/>
        <v>9.8204264870931535E-2</v>
      </c>
      <c r="N243" s="11">
        <f t="shared" si="13"/>
        <v>4.4550000000000001</v>
      </c>
      <c r="O243" s="11">
        <f t="shared" si="14"/>
        <v>0.4375</v>
      </c>
      <c r="P243">
        <f>IF('tips dataset'!$C243="thur",1,0)</f>
        <v>0</v>
      </c>
      <c r="Q243" t="str">
        <f t="shared" si="15"/>
        <v>Medium</v>
      </c>
    </row>
    <row r="244" spans="1:17" x14ac:dyDescent="0.3">
      <c r="A244">
        <f>IF('tips dataset'!$A244="Male",1,0)</f>
        <v>1</v>
      </c>
      <c r="B244">
        <f>IF('tips dataset'!$A244="Female",1,0)</f>
        <v>0</v>
      </c>
      <c r="C244">
        <f>IF('tips dataset'!$B244="Yes",1,0)</f>
        <v>1</v>
      </c>
      <c r="D244">
        <f>IF('tips dataset'!$B244="No",1,0)</f>
        <v>0</v>
      </c>
      <c r="E244">
        <f>IF('tips dataset'!$C244="Sat",1,0)</f>
        <v>1</v>
      </c>
      <c r="F244">
        <f>IF('tips dataset'!$C244="fri",1,0)</f>
        <v>0</v>
      </c>
      <c r="G244">
        <f>IF('tips dataset'!$C244="Sun",1,0)</f>
        <v>0</v>
      </c>
      <c r="H244">
        <f>IF('tips dataset'!$D244="Lunch",1,0)</f>
        <v>0</v>
      </c>
      <c r="I244">
        <f>IF('tips dataset'!$D244="Dinner",1,0)</f>
        <v>1</v>
      </c>
      <c r="J244">
        <f>'tips dataset'!$E244</f>
        <v>3</v>
      </c>
      <c r="K244">
        <v>18.78</v>
      </c>
      <c r="L244">
        <v>3</v>
      </c>
      <c r="M244" s="12">
        <f t="shared" si="12"/>
        <v>0.15974440894568689</v>
      </c>
      <c r="N244" s="11">
        <f t="shared" si="13"/>
        <v>6.2600000000000007</v>
      </c>
      <c r="O244" s="11">
        <f t="shared" si="14"/>
        <v>1</v>
      </c>
      <c r="P244">
        <f>IF('tips dataset'!$C244="thur",1,0)</f>
        <v>0</v>
      </c>
      <c r="Q244" t="str">
        <f t="shared" si="15"/>
        <v>Medium</v>
      </c>
    </row>
  </sheetData>
  <autoFilter ref="A1:Q244" xr:uid="{AFEA3BA3-5D01-409E-8620-9FBA213CAB5C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8A49DA-0238-46D5-B95F-13ADA8FD61E7}">
  <dimension ref="A1:B66"/>
  <sheetViews>
    <sheetView zoomScale="130" zoomScaleNormal="130" workbookViewId="0">
      <selection activeCell="A56" sqref="A56:A66"/>
    </sheetView>
  </sheetViews>
  <sheetFormatPr defaultRowHeight="14.4" x14ac:dyDescent="0.3"/>
  <sheetData>
    <row r="1" spans="1:2" ht="23.4" x14ac:dyDescent="0.45">
      <c r="A1" s="21" t="s">
        <v>288</v>
      </c>
    </row>
    <row r="3" spans="1:2" x14ac:dyDescent="0.3">
      <c r="A3" t="s">
        <v>289</v>
      </c>
    </row>
    <row r="4" spans="1:2" x14ac:dyDescent="0.3">
      <c r="A4" t="s">
        <v>290</v>
      </c>
    </row>
    <row r="6" spans="1:2" ht="21" x14ac:dyDescent="0.4">
      <c r="B6" s="32" t="s">
        <v>291</v>
      </c>
    </row>
    <row r="9" spans="1:2" ht="23.4" x14ac:dyDescent="0.3">
      <c r="A9" s="15" t="s">
        <v>292</v>
      </c>
    </row>
    <row r="11" spans="1:2" x14ac:dyDescent="0.3">
      <c r="A11" t="s">
        <v>293</v>
      </c>
    </row>
    <row r="13" spans="1:2" x14ac:dyDescent="0.3">
      <c r="A13" t="s">
        <v>294</v>
      </c>
    </row>
    <row r="15" spans="1:2" x14ac:dyDescent="0.3">
      <c r="A15" t="s">
        <v>295</v>
      </c>
    </row>
    <row r="17" spans="1:2" x14ac:dyDescent="0.3">
      <c r="A17" t="s">
        <v>296</v>
      </c>
    </row>
    <row r="19" spans="1:2" x14ac:dyDescent="0.3">
      <c r="A19" t="s">
        <v>297</v>
      </c>
    </row>
    <row r="21" spans="1:2" x14ac:dyDescent="0.3">
      <c r="A21" t="s">
        <v>298</v>
      </c>
    </row>
    <row r="23" spans="1:2" x14ac:dyDescent="0.3">
      <c r="A23" t="s">
        <v>299</v>
      </c>
    </row>
    <row r="25" spans="1:2" ht="21" x14ac:dyDescent="0.4">
      <c r="A25" s="33" t="s">
        <v>160</v>
      </c>
    </row>
    <row r="26" spans="1:2" x14ac:dyDescent="0.3">
      <c r="A26" t="s">
        <v>300</v>
      </c>
    </row>
    <row r="28" spans="1:2" x14ac:dyDescent="0.3">
      <c r="A28" t="s">
        <v>301</v>
      </c>
    </row>
    <row r="29" spans="1:2" x14ac:dyDescent="0.3">
      <c r="B29">
        <v>4.5</v>
      </c>
    </row>
    <row r="30" spans="1:2" x14ac:dyDescent="0.3">
      <c r="A30" t="s">
        <v>302</v>
      </c>
    </row>
    <row r="31" spans="1:2" x14ac:dyDescent="0.3">
      <c r="B31">
        <v>3.8</v>
      </c>
    </row>
    <row r="32" spans="1:2" x14ac:dyDescent="0.3">
      <c r="A32" t="s">
        <v>303</v>
      </c>
    </row>
    <row r="33" spans="1:2" x14ac:dyDescent="0.3">
      <c r="B33" t="s">
        <v>304</v>
      </c>
    </row>
    <row r="35" spans="1:2" x14ac:dyDescent="0.3">
      <c r="A35" t="s">
        <v>305</v>
      </c>
    </row>
    <row r="36" spans="1:2" x14ac:dyDescent="0.3">
      <c r="A36" s="7"/>
    </row>
    <row r="37" spans="1:2" x14ac:dyDescent="0.3">
      <c r="A37" s="7" t="s">
        <v>306</v>
      </c>
    </row>
    <row r="40" spans="1:2" x14ac:dyDescent="0.3">
      <c r="A40" t="s">
        <v>241</v>
      </c>
    </row>
    <row r="42" spans="1:2" x14ac:dyDescent="0.3">
      <c r="A42" t="s">
        <v>307</v>
      </c>
    </row>
    <row r="43" spans="1:2" x14ac:dyDescent="0.3">
      <c r="B43" t="s">
        <v>308</v>
      </c>
    </row>
    <row r="45" spans="1:2" x14ac:dyDescent="0.3">
      <c r="A45" t="s">
        <v>309</v>
      </c>
    </row>
    <row r="46" spans="1:2" x14ac:dyDescent="0.3">
      <c r="B46" t="s">
        <v>310</v>
      </c>
    </row>
    <row r="48" spans="1:2" x14ac:dyDescent="0.3">
      <c r="A48" t="s">
        <v>311</v>
      </c>
    </row>
    <row r="49" spans="1:2" x14ac:dyDescent="0.3">
      <c r="B49" t="s">
        <v>312</v>
      </c>
    </row>
    <row r="51" spans="1:2" x14ac:dyDescent="0.3">
      <c r="A51" t="s">
        <v>313</v>
      </c>
    </row>
    <row r="52" spans="1:2" x14ac:dyDescent="0.3">
      <c r="A52" s="7"/>
    </row>
    <row r="53" spans="1:2" x14ac:dyDescent="0.3">
      <c r="A53" s="7" t="s">
        <v>314</v>
      </c>
    </row>
    <row r="55" spans="1:2" ht="21" x14ac:dyDescent="0.4">
      <c r="A55" s="33" t="s">
        <v>315</v>
      </c>
    </row>
    <row r="56" spans="1:2" x14ac:dyDescent="0.3">
      <c r="A56" t="s">
        <v>316</v>
      </c>
    </row>
    <row r="57" spans="1:2" x14ac:dyDescent="0.3">
      <c r="A57" s="7"/>
    </row>
    <row r="58" spans="1:2" x14ac:dyDescent="0.3">
      <c r="A58" s="7" t="s">
        <v>317</v>
      </c>
    </row>
    <row r="60" spans="1:2" x14ac:dyDescent="0.3">
      <c r="A60" t="s">
        <v>318</v>
      </c>
    </row>
    <row r="62" spans="1:2" x14ac:dyDescent="0.3">
      <c r="A62" t="s">
        <v>319</v>
      </c>
    </row>
    <row r="64" spans="1:2" x14ac:dyDescent="0.3">
      <c r="A64" t="s">
        <v>320</v>
      </c>
    </row>
    <row r="66" spans="1:1" x14ac:dyDescent="0.3">
      <c r="A66" t="s">
        <v>321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A5718-3FA7-4D1B-AE57-384A005B7DAD}">
  <dimension ref="A1:B158"/>
  <sheetViews>
    <sheetView workbookViewId="0">
      <selection activeCell="C15" sqref="C15"/>
    </sheetView>
  </sheetViews>
  <sheetFormatPr defaultRowHeight="14.4" x14ac:dyDescent="0.3"/>
  <sheetData>
    <row r="1" spans="1:2" x14ac:dyDescent="0.3">
      <c r="A1" t="s">
        <v>102</v>
      </c>
      <c r="B1" t="s">
        <v>103</v>
      </c>
    </row>
    <row r="2" spans="1:2" x14ac:dyDescent="0.3">
      <c r="A2">
        <v>1.01</v>
      </c>
      <c r="B2">
        <v>1.66</v>
      </c>
    </row>
    <row r="3" spans="1:2" x14ac:dyDescent="0.3">
      <c r="A3">
        <v>3.61</v>
      </c>
      <c r="B3">
        <v>3.5</v>
      </c>
    </row>
    <row r="4" spans="1:2" x14ac:dyDescent="0.3">
      <c r="A4">
        <v>5</v>
      </c>
      <c r="B4">
        <v>3.31</v>
      </c>
    </row>
    <row r="5" spans="1:2" x14ac:dyDescent="0.3">
      <c r="A5">
        <v>3.02</v>
      </c>
      <c r="B5">
        <v>4.71</v>
      </c>
    </row>
    <row r="6" spans="1:2" x14ac:dyDescent="0.3">
      <c r="A6">
        <v>1.67</v>
      </c>
      <c r="B6">
        <v>2</v>
      </c>
    </row>
    <row r="7" spans="1:2" x14ac:dyDescent="0.3">
      <c r="A7">
        <v>3.5</v>
      </c>
      <c r="B7">
        <v>3.12</v>
      </c>
    </row>
    <row r="8" spans="1:2" x14ac:dyDescent="0.3">
      <c r="A8">
        <v>2.75</v>
      </c>
      <c r="B8">
        <v>1.96</v>
      </c>
    </row>
    <row r="9" spans="1:2" x14ac:dyDescent="0.3">
      <c r="A9">
        <v>2.23</v>
      </c>
      <c r="B9">
        <v>3.23</v>
      </c>
    </row>
    <row r="10" spans="1:2" x14ac:dyDescent="0.3">
      <c r="A10">
        <v>3</v>
      </c>
      <c r="B10">
        <v>1.71</v>
      </c>
    </row>
    <row r="11" spans="1:2" x14ac:dyDescent="0.3">
      <c r="A11">
        <v>3</v>
      </c>
      <c r="B11">
        <v>1.57</v>
      </c>
    </row>
    <row r="12" spans="1:2" x14ac:dyDescent="0.3">
      <c r="A12">
        <v>2.4500000000000002</v>
      </c>
      <c r="B12">
        <v>3</v>
      </c>
    </row>
    <row r="13" spans="1:2" x14ac:dyDescent="0.3">
      <c r="A13">
        <v>3.07</v>
      </c>
      <c r="B13">
        <v>3.92</v>
      </c>
    </row>
    <row r="14" spans="1:2" x14ac:dyDescent="0.3">
      <c r="A14">
        <v>2.6</v>
      </c>
      <c r="B14">
        <v>3.71</v>
      </c>
    </row>
    <row r="15" spans="1:2" x14ac:dyDescent="0.3">
      <c r="A15">
        <v>5.2</v>
      </c>
      <c r="B15">
        <v>3.35</v>
      </c>
    </row>
    <row r="16" spans="1:2" x14ac:dyDescent="0.3">
      <c r="A16">
        <v>1.5</v>
      </c>
      <c r="B16">
        <v>4.08</v>
      </c>
    </row>
    <row r="17" spans="1:2" x14ac:dyDescent="0.3">
      <c r="A17">
        <v>2.4700000000000002</v>
      </c>
      <c r="B17">
        <v>7.58</v>
      </c>
    </row>
    <row r="18" spans="1:2" x14ac:dyDescent="0.3">
      <c r="A18">
        <v>1</v>
      </c>
      <c r="B18">
        <v>3.18</v>
      </c>
    </row>
    <row r="19" spans="1:2" x14ac:dyDescent="0.3">
      <c r="A19">
        <v>3</v>
      </c>
      <c r="B19">
        <v>2.34</v>
      </c>
    </row>
    <row r="20" spans="1:2" x14ac:dyDescent="0.3">
      <c r="A20">
        <v>3.14</v>
      </c>
      <c r="B20">
        <v>2</v>
      </c>
    </row>
    <row r="21" spans="1:2" x14ac:dyDescent="0.3">
      <c r="A21">
        <v>5</v>
      </c>
      <c r="B21">
        <v>2</v>
      </c>
    </row>
    <row r="22" spans="1:2" x14ac:dyDescent="0.3">
      <c r="A22">
        <v>2.2000000000000002</v>
      </c>
      <c r="B22">
        <v>4.3</v>
      </c>
    </row>
    <row r="23" spans="1:2" x14ac:dyDescent="0.3">
      <c r="A23">
        <v>1.83</v>
      </c>
      <c r="B23">
        <v>1.45</v>
      </c>
    </row>
    <row r="24" spans="1:2" x14ac:dyDescent="0.3">
      <c r="A24">
        <v>5.17</v>
      </c>
      <c r="B24">
        <v>2.5</v>
      </c>
    </row>
    <row r="25" spans="1:2" x14ac:dyDescent="0.3">
      <c r="A25">
        <v>1</v>
      </c>
      <c r="B25">
        <v>3.27</v>
      </c>
    </row>
    <row r="26" spans="1:2" x14ac:dyDescent="0.3">
      <c r="A26">
        <v>4.3</v>
      </c>
      <c r="B26">
        <v>3.6</v>
      </c>
    </row>
    <row r="27" spans="1:2" x14ac:dyDescent="0.3">
      <c r="A27">
        <v>3.25</v>
      </c>
      <c r="B27">
        <v>2</v>
      </c>
    </row>
    <row r="28" spans="1:2" x14ac:dyDescent="0.3">
      <c r="A28">
        <v>2.5</v>
      </c>
      <c r="B28">
        <v>2.31</v>
      </c>
    </row>
    <row r="29" spans="1:2" x14ac:dyDescent="0.3">
      <c r="A29">
        <v>3</v>
      </c>
      <c r="B29">
        <v>5</v>
      </c>
    </row>
    <row r="30" spans="1:2" x14ac:dyDescent="0.3">
      <c r="A30">
        <v>2.5</v>
      </c>
      <c r="B30">
        <v>2.2400000000000002</v>
      </c>
    </row>
    <row r="31" spans="1:2" x14ac:dyDescent="0.3">
      <c r="A31">
        <v>3.48</v>
      </c>
      <c r="B31">
        <v>2.54</v>
      </c>
    </row>
    <row r="32" spans="1:2" x14ac:dyDescent="0.3">
      <c r="A32">
        <v>4.08</v>
      </c>
      <c r="B32">
        <v>3.06</v>
      </c>
    </row>
    <row r="33" spans="1:2" x14ac:dyDescent="0.3">
      <c r="A33">
        <v>4</v>
      </c>
      <c r="B33">
        <v>1.32</v>
      </c>
    </row>
    <row r="34" spans="1:2" x14ac:dyDescent="0.3">
      <c r="A34">
        <v>1</v>
      </c>
      <c r="B34">
        <v>5.6</v>
      </c>
    </row>
    <row r="35" spans="1:2" x14ac:dyDescent="0.3">
      <c r="A35">
        <v>4</v>
      </c>
      <c r="B35">
        <v>3</v>
      </c>
    </row>
    <row r="36" spans="1:2" x14ac:dyDescent="0.3">
      <c r="A36">
        <v>3.5</v>
      </c>
      <c r="B36">
        <v>5</v>
      </c>
    </row>
    <row r="37" spans="1:2" x14ac:dyDescent="0.3">
      <c r="A37">
        <v>1.5</v>
      </c>
      <c r="B37">
        <v>6</v>
      </c>
    </row>
    <row r="38" spans="1:2" x14ac:dyDescent="0.3">
      <c r="A38">
        <v>1.8</v>
      </c>
      <c r="B38">
        <v>2.0499999999999998</v>
      </c>
    </row>
    <row r="39" spans="1:2" x14ac:dyDescent="0.3">
      <c r="A39">
        <v>2.92</v>
      </c>
      <c r="B39">
        <v>3</v>
      </c>
    </row>
    <row r="40" spans="1:2" x14ac:dyDescent="0.3">
      <c r="A40">
        <v>1.68</v>
      </c>
      <c r="B40">
        <v>2.5</v>
      </c>
    </row>
    <row r="41" spans="1:2" x14ac:dyDescent="0.3">
      <c r="A41">
        <v>2.52</v>
      </c>
      <c r="B41">
        <v>1.56</v>
      </c>
    </row>
    <row r="42" spans="1:2" x14ac:dyDescent="0.3">
      <c r="A42">
        <v>4.2</v>
      </c>
      <c r="B42">
        <v>4.34</v>
      </c>
    </row>
    <row r="43" spans="1:2" x14ac:dyDescent="0.3">
      <c r="A43">
        <v>2</v>
      </c>
      <c r="B43">
        <v>3.51</v>
      </c>
    </row>
    <row r="44" spans="1:2" x14ac:dyDescent="0.3">
      <c r="A44">
        <v>2</v>
      </c>
      <c r="B44">
        <v>3</v>
      </c>
    </row>
    <row r="45" spans="1:2" x14ac:dyDescent="0.3">
      <c r="A45">
        <v>2.83</v>
      </c>
      <c r="B45">
        <v>1.76</v>
      </c>
    </row>
    <row r="46" spans="1:2" x14ac:dyDescent="0.3">
      <c r="A46">
        <v>1.5</v>
      </c>
      <c r="B46">
        <v>6.73</v>
      </c>
    </row>
    <row r="47" spans="1:2" x14ac:dyDescent="0.3">
      <c r="A47">
        <v>2</v>
      </c>
      <c r="B47">
        <v>3.21</v>
      </c>
    </row>
    <row r="48" spans="1:2" x14ac:dyDescent="0.3">
      <c r="A48">
        <v>3.25</v>
      </c>
      <c r="B48">
        <v>2</v>
      </c>
    </row>
    <row r="49" spans="1:2" x14ac:dyDescent="0.3">
      <c r="A49">
        <v>1.25</v>
      </c>
      <c r="B49">
        <v>1.98</v>
      </c>
    </row>
    <row r="50" spans="1:2" x14ac:dyDescent="0.3">
      <c r="A50">
        <v>2</v>
      </c>
      <c r="B50">
        <v>3.76</v>
      </c>
    </row>
    <row r="51" spans="1:2" x14ac:dyDescent="0.3">
      <c r="A51">
        <v>2</v>
      </c>
      <c r="B51">
        <v>2.64</v>
      </c>
    </row>
    <row r="52" spans="1:2" x14ac:dyDescent="0.3">
      <c r="A52">
        <v>2.75</v>
      </c>
      <c r="B52">
        <v>3.15</v>
      </c>
    </row>
    <row r="53" spans="1:2" x14ac:dyDescent="0.3">
      <c r="A53">
        <v>3.5</v>
      </c>
      <c r="B53">
        <v>2.0099999999999998</v>
      </c>
    </row>
    <row r="54" spans="1:2" x14ac:dyDescent="0.3">
      <c r="A54">
        <v>5</v>
      </c>
      <c r="B54">
        <v>2.09</v>
      </c>
    </row>
    <row r="55" spans="1:2" x14ac:dyDescent="0.3">
      <c r="A55">
        <v>2.2999999999999998</v>
      </c>
      <c r="B55">
        <v>1.97</v>
      </c>
    </row>
    <row r="56" spans="1:2" x14ac:dyDescent="0.3">
      <c r="A56">
        <v>1.5</v>
      </c>
      <c r="B56">
        <v>1.25</v>
      </c>
    </row>
    <row r="57" spans="1:2" x14ac:dyDescent="0.3">
      <c r="A57">
        <v>1.36</v>
      </c>
      <c r="B57">
        <v>3.08</v>
      </c>
    </row>
    <row r="58" spans="1:2" x14ac:dyDescent="0.3">
      <c r="A58">
        <v>1.63</v>
      </c>
      <c r="B58">
        <v>4</v>
      </c>
    </row>
    <row r="59" spans="1:2" x14ac:dyDescent="0.3">
      <c r="A59">
        <v>5.14</v>
      </c>
      <c r="B59">
        <v>3</v>
      </c>
    </row>
    <row r="60" spans="1:2" x14ac:dyDescent="0.3">
      <c r="A60">
        <v>3.75</v>
      </c>
      <c r="B60">
        <v>2.71</v>
      </c>
    </row>
    <row r="61" spans="1:2" x14ac:dyDescent="0.3">
      <c r="A61">
        <v>2.61</v>
      </c>
      <c r="B61">
        <v>3</v>
      </c>
    </row>
    <row r="62" spans="1:2" x14ac:dyDescent="0.3">
      <c r="A62">
        <v>2</v>
      </c>
      <c r="B62">
        <v>3.4</v>
      </c>
    </row>
    <row r="63" spans="1:2" x14ac:dyDescent="0.3">
      <c r="A63">
        <v>3</v>
      </c>
      <c r="B63">
        <v>5</v>
      </c>
    </row>
    <row r="64" spans="1:2" x14ac:dyDescent="0.3">
      <c r="A64">
        <v>1.61</v>
      </c>
      <c r="B64">
        <v>2.0299999999999998</v>
      </c>
    </row>
    <row r="65" spans="1:2" x14ac:dyDescent="0.3">
      <c r="A65">
        <v>2</v>
      </c>
      <c r="B65">
        <v>2</v>
      </c>
    </row>
    <row r="66" spans="1:2" x14ac:dyDescent="0.3">
      <c r="A66">
        <v>4</v>
      </c>
      <c r="B66">
        <v>4</v>
      </c>
    </row>
    <row r="67" spans="1:2" x14ac:dyDescent="0.3">
      <c r="A67">
        <v>3.5</v>
      </c>
      <c r="B67">
        <v>5.85</v>
      </c>
    </row>
    <row r="68" spans="1:2" x14ac:dyDescent="0.3">
      <c r="A68">
        <v>3.5</v>
      </c>
      <c r="B68">
        <v>3</v>
      </c>
    </row>
    <row r="69" spans="1:2" x14ac:dyDescent="0.3">
      <c r="A69">
        <v>4.1900000000000004</v>
      </c>
      <c r="B69">
        <v>3</v>
      </c>
    </row>
    <row r="70" spans="1:2" x14ac:dyDescent="0.3">
      <c r="A70">
        <v>5</v>
      </c>
      <c r="B70">
        <v>3.5</v>
      </c>
    </row>
    <row r="71" spans="1:2" x14ac:dyDescent="0.3">
      <c r="A71">
        <v>2</v>
      </c>
      <c r="B71">
        <v>4.7300000000000004</v>
      </c>
    </row>
    <row r="72" spans="1:2" x14ac:dyDescent="0.3">
      <c r="A72">
        <v>2.0099999999999998</v>
      </c>
      <c r="B72">
        <v>4</v>
      </c>
    </row>
    <row r="73" spans="1:2" x14ac:dyDescent="0.3">
      <c r="A73">
        <v>2.5</v>
      </c>
      <c r="B73">
        <v>1.5</v>
      </c>
    </row>
    <row r="74" spans="1:2" x14ac:dyDescent="0.3">
      <c r="A74">
        <v>3.23</v>
      </c>
      <c r="B74">
        <v>3</v>
      </c>
    </row>
    <row r="75" spans="1:2" x14ac:dyDescent="0.3">
      <c r="A75">
        <v>2.23</v>
      </c>
      <c r="B75">
        <v>1.5</v>
      </c>
    </row>
    <row r="76" spans="1:2" x14ac:dyDescent="0.3">
      <c r="A76">
        <v>2.5</v>
      </c>
      <c r="B76">
        <v>1.64</v>
      </c>
    </row>
    <row r="77" spans="1:2" x14ac:dyDescent="0.3">
      <c r="A77">
        <v>6.5</v>
      </c>
      <c r="B77">
        <v>4.0599999999999996</v>
      </c>
    </row>
    <row r="78" spans="1:2" x14ac:dyDescent="0.3">
      <c r="A78">
        <v>1.1000000000000001</v>
      </c>
      <c r="B78">
        <v>4.29</v>
      </c>
    </row>
    <row r="79" spans="1:2" x14ac:dyDescent="0.3">
      <c r="A79">
        <v>3.09</v>
      </c>
      <c r="B79">
        <v>3.76</v>
      </c>
    </row>
    <row r="80" spans="1:2" x14ac:dyDescent="0.3">
      <c r="A80">
        <v>3.48</v>
      </c>
      <c r="B80">
        <v>3</v>
      </c>
    </row>
    <row r="81" spans="1:2" x14ac:dyDescent="0.3">
      <c r="A81">
        <v>3</v>
      </c>
      <c r="B81">
        <v>4</v>
      </c>
    </row>
    <row r="82" spans="1:2" x14ac:dyDescent="0.3">
      <c r="A82">
        <v>2.5</v>
      </c>
      <c r="B82">
        <v>2.5499999999999998</v>
      </c>
    </row>
    <row r="83" spans="1:2" x14ac:dyDescent="0.3">
      <c r="A83">
        <v>2</v>
      </c>
      <c r="B83">
        <v>5.07</v>
      </c>
    </row>
    <row r="84" spans="1:2" x14ac:dyDescent="0.3">
      <c r="A84">
        <v>2.88</v>
      </c>
      <c r="B84">
        <v>2.31</v>
      </c>
    </row>
    <row r="85" spans="1:2" x14ac:dyDescent="0.3">
      <c r="A85">
        <v>4.67</v>
      </c>
      <c r="B85">
        <v>2.5</v>
      </c>
    </row>
    <row r="86" spans="1:2" x14ac:dyDescent="0.3">
      <c r="A86">
        <v>2</v>
      </c>
      <c r="B86">
        <v>2</v>
      </c>
    </row>
    <row r="87" spans="1:2" x14ac:dyDescent="0.3">
      <c r="A87">
        <v>3</v>
      </c>
      <c r="B87">
        <v>1.48</v>
      </c>
    </row>
    <row r="88" spans="1:2" x14ac:dyDescent="0.3">
      <c r="B88">
        <v>2.1800000000000002</v>
      </c>
    </row>
    <row r="89" spans="1:2" x14ac:dyDescent="0.3">
      <c r="B89">
        <v>1.5</v>
      </c>
    </row>
    <row r="90" spans="1:2" x14ac:dyDescent="0.3">
      <c r="B90">
        <v>2</v>
      </c>
    </row>
    <row r="91" spans="1:2" x14ac:dyDescent="0.3">
      <c r="B91">
        <v>6.7</v>
      </c>
    </row>
    <row r="92" spans="1:2" x14ac:dyDescent="0.3">
      <c r="B92">
        <v>5</v>
      </c>
    </row>
    <row r="93" spans="1:2" x14ac:dyDescent="0.3">
      <c r="B93">
        <v>1.73</v>
      </c>
    </row>
    <row r="94" spans="1:2" x14ac:dyDescent="0.3">
      <c r="B94">
        <v>2</v>
      </c>
    </row>
    <row r="95" spans="1:2" x14ac:dyDescent="0.3">
      <c r="B95">
        <v>2.5</v>
      </c>
    </row>
    <row r="96" spans="1:2" x14ac:dyDescent="0.3">
      <c r="B96">
        <v>2</v>
      </c>
    </row>
    <row r="97" spans="2:2" x14ac:dyDescent="0.3">
      <c r="B97">
        <v>2.74</v>
      </c>
    </row>
    <row r="98" spans="2:2" x14ac:dyDescent="0.3">
      <c r="B98">
        <v>2</v>
      </c>
    </row>
    <row r="99" spans="2:2" x14ac:dyDescent="0.3">
      <c r="B99">
        <v>2</v>
      </c>
    </row>
    <row r="100" spans="2:2" x14ac:dyDescent="0.3">
      <c r="B100">
        <v>5</v>
      </c>
    </row>
    <row r="101" spans="2:2" x14ac:dyDescent="0.3">
      <c r="B101">
        <v>2</v>
      </c>
    </row>
    <row r="102" spans="2:2" x14ac:dyDescent="0.3">
      <c r="B102">
        <v>3.5</v>
      </c>
    </row>
    <row r="103" spans="2:2" x14ac:dyDescent="0.3">
      <c r="B103">
        <v>2.5</v>
      </c>
    </row>
    <row r="104" spans="2:2" x14ac:dyDescent="0.3">
      <c r="B104">
        <v>2</v>
      </c>
    </row>
    <row r="105" spans="2:2" x14ac:dyDescent="0.3">
      <c r="B105">
        <v>3.48</v>
      </c>
    </row>
    <row r="106" spans="2:2" x14ac:dyDescent="0.3">
      <c r="B106">
        <v>2.2400000000000002</v>
      </c>
    </row>
    <row r="107" spans="2:2" x14ac:dyDescent="0.3">
      <c r="B107">
        <v>4.5</v>
      </c>
    </row>
    <row r="108" spans="2:2" x14ac:dyDescent="0.3">
      <c r="B108">
        <v>10</v>
      </c>
    </row>
    <row r="109" spans="2:2" x14ac:dyDescent="0.3">
      <c r="B109">
        <v>3.16</v>
      </c>
    </row>
    <row r="110" spans="2:2" x14ac:dyDescent="0.3">
      <c r="B110">
        <v>5.15</v>
      </c>
    </row>
    <row r="111" spans="2:2" x14ac:dyDescent="0.3">
      <c r="B111">
        <v>3.18</v>
      </c>
    </row>
    <row r="112" spans="2:2" x14ac:dyDescent="0.3">
      <c r="B112">
        <v>4</v>
      </c>
    </row>
    <row r="113" spans="2:2" x14ac:dyDescent="0.3">
      <c r="B113">
        <v>3.11</v>
      </c>
    </row>
    <row r="114" spans="2:2" x14ac:dyDescent="0.3">
      <c r="B114">
        <v>2</v>
      </c>
    </row>
    <row r="115" spans="2:2" x14ac:dyDescent="0.3">
      <c r="B115">
        <v>2</v>
      </c>
    </row>
    <row r="116" spans="2:2" x14ac:dyDescent="0.3">
      <c r="B116">
        <v>3.55</v>
      </c>
    </row>
    <row r="117" spans="2:2" x14ac:dyDescent="0.3">
      <c r="B117">
        <v>3.68</v>
      </c>
    </row>
    <row r="118" spans="2:2" x14ac:dyDescent="0.3">
      <c r="B118">
        <v>5.65</v>
      </c>
    </row>
    <row r="119" spans="2:2" x14ac:dyDescent="0.3">
      <c r="B119">
        <v>3.5</v>
      </c>
    </row>
    <row r="120" spans="2:2" x14ac:dyDescent="0.3">
      <c r="B120">
        <v>6.5</v>
      </c>
    </row>
    <row r="121" spans="2:2" x14ac:dyDescent="0.3">
      <c r="B121">
        <v>3</v>
      </c>
    </row>
    <row r="122" spans="2:2" x14ac:dyDescent="0.3">
      <c r="B122">
        <v>5</v>
      </c>
    </row>
    <row r="123" spans="2:2" x14ac:dyDescent="0.3">
      <c r="B123">
        <v>2</v>
      </c>
    </row>
    <row r="124" spans="2:2" x14ac:dyDescent="0.3">
      <c r="B124">
        <v>4</v>
      </c>
    </row>
    <row r="125" spans="2:2" x14ac:dyDescent="0.3">
      <c r="B125">
        <v>1.5</v>
      </c>
    </row>
    <row r="126" spans="2:2" x14ac:dyDescent="0.3">
      <c r="B126">
        <v>2.56</v>
      </c>
    </row>
    <row r="127" spans="2:2" x14ac:dyDescent="0.3">
      <c r="B127">
        <v>2.02</v>
      </c>
    </row>
    <row r="128" spans="2:2" x14ac:dyDescent="0.3">
      <c r="B128">
        <v>4</v>
      </c>
    </row>
    <row r="129" spans="2:2" x14ac:dyDescent="0.3">
      <c r="B129">
        <v>1.44</v>
      </c>
    </row>
    <row r="130" spans="2:2" x14ac:dyDescent="0.3">
      <c r="B130">
        <v>2</v>
      </c>
    </row>
    <row r="131" spans="2:2" x14ac:dyDescent="0.3">
      <c r="B131">
        <v>2</v>
      </c>
    </row>
    <row r="132" spans="2:2" x14ac:dyDescent="0.3">
      <c r="B132">
        <v>4</v>
      </c>
    </row>
    <row r="133" spans="2:2" x14ac:dyDescent="0.3">
      <c r="B133">
        <v>4</v>
      </c>
    </row>
    <row r="134" spans="2:2" x14ac:dyDescent="0.3">
      <c r="B134">
        <v>3.41</v>
      </c>
    </row>
    <row r="135" spans="2:2" x14ac:dyDescent="0.3">
      <c r="B135">
        <v>3</v>
      </c>
    </row>
    <row r="136" spans="2:2" x14ac:dyDescent="0.3">
      <c r="B136">
        <v>2.0299999999999998</v>
      </c>
    </row>
    <row r="137" spans="2:2" x14ac:dyDescent="0.3">
      <c r="B137">
        <v>2</v>
      </c>
    </row>
    <row r="138" spans="2:2" x14ac:dyDescent="0.3">
      <c r="B138">
        <v>5.16</v>
      </c>
    </row>
    <row r="139" spans="2:2" x14ac:dyDescent="0.3">
      <c r="B139">
        <v>9</v>
      </c>
    </row>
    <row r="140" spans="2:2" x14ac:dyDescent="0.3">
      <c r="B140">
        <v>3</v>
      </c>
    </row>
    <row r="141" spans="2:2" x14ac:dyDescent="0.3">
      <c r="B141">
        <v>1.5</v>
      </c>
    </row>
    <row r="142" spans="2:2" x14ac:dyDescent="0.3">
      <c r="B142">
        <v>1.44</v>
      </c>
    </row>
    <row r="143" spans="2:2" x14ac:dyDescent="0.3">
      <c r="B143">
        <v>2.2000000000000002</v>
      </c>
    </row>
    <row r="144" spans="2:2" x14ac:dyDescent="0.3">
      <c r="B144">
        <v>1.92</v>
      </c>
    </row>
    <row r="145" spans="2:2" x14ac:dyDescent="0.3">
      <c r="B145">
        <v>1.58</v>
      </c>
    </row>
    <row r="146" spans="2:2" x14ac:dyDescent="0.3">
      <c r="B146">
        <v>3</v>
      </c>
    </row>
    <row r="147" spans="2:2" x14ac:dyDescent="0.3">
      <c r="B147">
        <v>2.72</v>
      </c>
    </row>
    <row r="148" spans="2:2" x14ac:dyDescent="0.3">
      <c r="B148">
        <v>2</v>
      </c>
    </row>
    <row r="149" spans="2:2" x14ac:dyDescent="0.3">
      <c r="B149">
        <v>3</v>
      </c>
    </row>
    <row r="150" spans="2:2" x14ac:dyDescent="0.3">
      <c r="B150">
        <v>3.39</v>
      </c>
    </row>
    <row r="151" spans="2:2" x14ac:dyDescent="0.3">
      <c r="B151">
        <v>1.47</v>
      </c>
    </row>
    <row r="152" spans="2:2" x14ac:dyDescent="0.3">
      <c r="B152">
        <v>3</v>
      </c>
    </row>
    <row r="153" spans="2:2" x14ac:dyDescent="0.3">
      <c r="B153">
        <v>1.25</v>
      </c>
    </row>
    <row r="154" spans="2:2" x14ac:dyDescent="0.3">
      <c r="B154">
        <v>1</v>
      </c>
    </row>
    <row r="155" spans="2:2" x14ac:dyDescent="0.3">
      <c r="B155">
        <v>1.17</v>
      </c>
    </row>
    <row r="156" spans="2:2" x14ac:dyDescent="0.3">
      <c r="B156">
        <v>5.92</v>
      </c>
    </row>
    <row r="157" spans="2:2" x14ac:dyDescent="0.3">
      <c r="B157">
        <v>2</v>
      </c>
    </row>
    <row r="158" spans="2:2" x14ac:dyDescent="0.3">
      <c r="B158">
        <v>1.75</v>
      </c>
    </row>
  </sheetData>
  <autoFilter ref="A1:A244" xr:uid="{210A5718-3FA7-4D1B-AE57-384A005B7DAD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FD71DB-CDE4-4160-A82D-683E2F20DEF7}">
  <dimension ref="A1:B177"/>
  <sheetViews>
    <sheetView workbookViewId="0">
      <selection activeCell="E21" sqref="E21"/>
    </sheetView>
  </sheetViews>
  <sheetFormatPr defaultRowHeight="14.4" x14ac:dyDescent="0.3"/>
  <sheetData>
    <row r="1" spans="1:2" x14ac:dyDescent="0.3">
      <c r="A1" t="s">
        <v>119</v>
      </c>
      <c r="B1" t="s">
        <v>120</v>
      </c>
    </row>
    <row r="2" spans="1:2" x14ac:dyDescent="0.3">
      <c r="A2">
        <v>4</v>
      </c>
      <c r="B2">
        <v>1.01</v>
      </c>
    </row>
    <row r="3" spans="1:2" x14ac:dyDescent="0.3">
      <c r="A3">
        <v>3</v>
      </c>
      <c r="B3">
        <v>1.66</v>
      </c>
    </row>
    <row r="4" spans="1:2" x14ac:dyDescent="0.3">
      <c r="A4">
        <v>2.71</v>
      </c>
      <c r="B4">
        <v>3.5</v>
      </c>
    </row>
    <row r="5" spans="1:2" x14ac:dyDescent="0.3">
      <c r="A5">
        <v>3</v>
      </c>
      <c r="B5">
        <v>3.31</v>
      </c>
    </row>
    <row r="6" spans="1:2" x14ac:dyDescent="0.3">
      <c r="A6">
        <v>3.4</v>
      </c>
      <c r="B6">
        <v>3.61</v>
      </c>
    </row>
    <row r="7" spans="1:2" x14ac:dyDescent="0.3">
      <c r="A7">
        <v>1.83</v>
      </c>
      <c r="B7">
        <v>4.71</v>
      </c>
    </row>
    <row r="8" spans="1:2" x14ac:dyDescent="0.3">
      <c r="A8">
        <v>5</v>
      </c>
      <c r="B8">
        <v>2</v>
      </c>
    </row>
    <row r="9" spans="1:2" x14ac:dyDescent="0.3">
      <c r="A9">
        <v>2.0299999999999998</v>
      </c>
      <c r="B9">
        <v>3.12</v>
      </c>
    </row>
    <row r="10" spans="1:2" x14ac:dyDescent="0.3">
      <c r="A10">
        <v>5.17</v>
      </c>
      <c r="B10">
        <v>1.96</v>
      </c>
    </row>
    <row r="11" spans="1:2" x14ac:dyDescent="0.3">
      <c r="A11">
        <v>2</v>
      </c>
      <c r="B11">
        <v>3.23</v>
      </c>
    </row>
    <row r="12" spans="1:2" x14ac:dyDescent="0.3">
      <c r="A12">
        <v>4</v>
      </c>
      <c r="B12">
        <v>1.71</v>
      </c>
    </row>
    <row r="13" spans="1:2" x14ac:dyDescent="0.3">
      <c r="A13">
        <v>5.85</v>
      </c>
      <c r="B13">
        <v>5</v>
      </c>
    </row>
    <row r="14" spans="1:2" x14ac:dyDescent="0.3">
      <c r="A14">
        <v>3</v>
      </c>
      <c r="B14">
        <v>1.57</v>
      </c>
    </row>
    <row r="15" spans="1:2" x14ac:dyDescent="0.3">
      <c r="A15">
        <v>1.5</v>
      </c>
      <c r="B15">
        <v>3</v>
      </c>
    </row>
    <row r="16" spans="1:2" x14ac:dyDescent="0.3">
      <c r="A16">
        <v>1.8</v>
      </c>
      <c r="B16">
        <v>3.02</v>
      </c>
    </row>
    <row r="17" spans="1:2" x14ac:dyDescent="0.3">
      <c r="A17">
        <v>2.92</v>
      </c>
      <c r="B17">
        <v>3.92</v>
      </c>
    </row>
    <row r="18" spans="1:2" x14ac:dyDescent="0.3">
      <c r="A18">
        <v>2.31</v>
      </c>
      <c r="B18">
        <v>1.67</v>
      </c>
    </row>
    <row r="19" spans="1:2" x14ac:dyDescent="0.3">
      <c r="A19">
        <v>1.68</v>
      </c>
      <c r="B19">
        <v>3.71</v>
      </c>
    </row>
    <row r="20" spans="1:2" x14ac:dyDescent="0.3">
      <c r="A20">
        <v>2.5</v>
      </c>
      <c r="B20">
        <v>3.5</v>
      </c>
    </row>
    <row r="21" spans="1:2" x14ac:dyDescent="0.3">
      <c r="A21">
        <v>2</v>
      </c>
      <c r="B21">
        <v>3.35</v>
      </c>
    </row>
    <row r="22" spans="1:2" x14ac:dyDescent="0.3">
      <c r="A22">
        <v>2.52</v>
      </c>
      <c r="B22">
        <v>4.08</v>
      </c>
    </row>
    <row r="23" spans="1:2" x14ac:dyDescent="0.3">
      <c r="A23">
        <v>4.2</v>
      </c>
      <c r="B23">
        <v>2.75</v>
      </c>
    </row>
    <row r="24" spans="1:2" x14ac:dyDescent="0.3">
      <c r="A24">
        <v>1.48</v>
      </c>
      <c r="B24">
        <v>2.23</v>
      </c>
    </row>
    <row r="25" spans="1:2" x14ac:dyDescent="0.3">
      <c r="A25">
        <v>2</v>
      </c>
      <c r="B25">
        <v>7.58</v>
      </c>
    </row>
    <row r="26" spans="1:2" x14ac:dyDescent="0.3">
      <c r="A26">
        <v>2</v>
      </c>
      <c r="B26">
        <v>3.18</v>
      </c>
    </row>
    <row r="27" spans="1:2" x14ac:dyDescent="0.3">
      <c r="A27">
        <v>2.1800000000000002</v>
      </c>
      <c r="B27">
        <v>2.34</v>
      </c>
    </row>
    <row r="28" spans="1:2" x14ac:dyDescent="0.3">
      <c r="A28">
        <v>1.5</v>
      </c>
      <c r="B28">
        <v>2</v>
      </c>
    </row>
    <row r="29" spans="1:2" x14ac:dyDescent="0.3">
      <c r="A29">
        <v>2.83</v>
      </c>
      <c r="B29">
        <v>2</v>
      </c>
    </row>
    <row r="30" spans="1:2" x14ac:dyDescent="0.3">
      <c r="A30">
        <v>1.5</v>
      </c>
      <c r="B30">
        <v>4.3</v>
      </c>
    </row>
    <row r="31" spans="1:2" x14ac:dyDescent="0.3">
      <c r="A31">
        <v>2</v>
      </c>
      <c r="B31">
        <v>3</v>
      </c>
    </row>
    <row r="32" spans="1:2" x14ac:dyDescent="0.3">
      <c r="A32">
        <v>3.25</v>
      </c>
      <c r="B32">
        <v>1.45</v>
      </c>
    </row>
    <row r="33" spans="1:2" x14ac:dyDescent="0.3">
      <c r="A33">
        <v>1.25</v>
      </c>
      <c r="B33">
        <v>2.5</v>
      </c>
    </row>
    <row r="34" spans="1:2" x14ac:dyDescent="0.3">
      <c r="A34">
        <v>2</v>
      </c>
      <c r="B34">
        <v>3</v>
      </c>
    </row>
    <row r="35" spans="1:2" x14ac:dyDescent="0.3">
      <c r="A35">
        <v>2</v>
      </c>
      <c r="B35">
        <v>2.4500000000000002</v>
      </c>
    </row>
    <row r="36" spans="1:2" x14ac:dyDescent="0.3">
      <c r="A36">
        <v>2</v>
      </c>
      <c r="B36">
        <v>3.27</v>
      </c>
    </row>
    <row r="37" spans="1:2" x14ac:dyDescent="0.3">
      <c r="A37">
        <v>2.75</v>
      </c>
      <c r="B37">
        <v>3.6</v>
      </c>
    </row>
    <row r="38" spans="1:2" x14ac:dyDescent="0.3">
      <c r="A38">
        <v>3.5</v>
      </c>
      <c r="B38">
        <v>2</v>
      </c>
    </row>
    <row r="39" spans="1:2" x14ac:dyDescent="0.3">
      <c r="A39">
        <v>6.7</v>
      </c>
      <c r="B39">
        <v>3.07</v>
      </c>
    </row>
    <row r="40" spans="1:2" x14ac:dyDescent="0.3">
      <c r="A40">
        <v>5</v>
      </c>
      <c r="B40">
        <v>2.31</v>
      </c>
    </row>
    <row r="41" spans="1:2" x14ac:dyDescent="0.3">
      <c r="A41">
        <v>5</v>
      </c>
      <c r="B41">
        <v>5</v>
      </c>
    </row>
    <row r="42" spans="1:2" x14ac:dyDescent="0.3">
      <c r="A42">
        <v>2.2999999999999998</v>
      </c>
      <c r="B42">
        <v>2.2400000000000002</v>
      </c>
    </row>
    <row r="43" spans="1:2" x14ac:dyDescent="0.3">
      <c r="A43">
        <v>1.5</v>
      </c>
      <c r="B43">
        <v>2.54</v>
      </c>
    </row>
    <row r="44" spans="1:2" x14ac:dyDescent="0.3">
      <c r="A44">
        <v>1.36</v>
      </c>
      <c r="B44">
        <v>3.06</v>
      </c>
    </row>
    <row r="45" spans="1:2" x14ac:dyDescent="0.3">
      <c r="A45">
        <v>1.63</v>
      </c>
      <c r="B45">
        <v>1.32</v>
      </c>
    </row>
    <row r="46" spans="1:2" x14ac:dyDescent="0.3">
      <c r="A46">
        <v>1.73</v>
      </c>
      <c r="B46">
        <v>5.6</v>
      </c>
    </row>
    <row r="47" spans="1:2" x14ac:dyDescent="0.3">
      <c r="A47">
        <v>2</v>
      </c>
      <c r="B47">
        <v>3</v>
      </c>
    </row>
    <row r="48" spans="1:2" x14ac:dyDescent="0.3">
      <c r="A48">
        <v>4.1900000000000004</v>
      </c>
      <c r="B48">
        <v>5</v>
      </c>
    </row>
    <row r="49" spans="1:2" x14ac:dyDescent="0.3">
      <c r="A49">
        <v>2.56</v>
      </c>
      <c r="B49">
        <v>6</v>
      </c>
    </row>
    <row r="50" spans="1:2" x14ac:dyDescent="0.3">
      <c r="A50">
        <v>2.02</v>
      </c>
      <c r="B50">
        <v>2.0499999999999998</v>
      </c>
    </row>
    <row r="51" spans="1:2" x14ac:dyDescent="0.3">
      <c r="A51">
        <v>4</v>
      </c>
      <c r="B51">
        <v>3</v>
      </c>
    </row>
    <row r="52" spans="1:2" x14ac:dyDescent="0.3">
      <c r="A52">
        <v>1.44</v>
      </c>
      <c r="B52">
        <v>2.5</v>
      </c>
    </row>
    <row r="53" spans="1:2" x14ac:dyDescent="0.3">
      <c r="A53">
        <v>2</v>
      </c>
      <c r="B53">
        <v>2.6</v>
      </c>
    </row>
    <row r="54" spans="1:2" x14ac:dyDescent="0.3">
      <c r="A54">
        <v>5</v>
      </c>
      <c r="B54">
        <v>5.2</v>
      </c>
    </row>
    <row r="55" spans="1:2" x14ac:dyDescent="0.3">
      <c r="A55">
        <v>2</v>
      </c>
      <c r="B55">
        <v>1.56</v>
      </c>
    </row>
    <row r="56" spans="1:2" x14ac:dyDescent="0.3">
      <c r="A56">
        <v>2</v>
      </c>
      <c r="B56">
        <v>4.34</v>
      </c>
    </row>
    <row r="57" spans="1:2" x14ac:dyDescent="0.3">
      <c r="A57">
        <v>4</v>
      </c>
      <c r="B57">
        <v>3.51</v>
      </c>
    </row>
    <row r="58" spans="1:2" x14ac:dyDescent="0.3">
      <c r="A58">
        <v>2.0099999999999998</v>
      </c>
      <c r="B58">
        <v>3</v>
      </c>
    </row>
    <row r="59" spans="1:2" x14ac:dyDescent="0.3">
      <c r="A59">
        <v>2.5</v>
      </c>
      <c r="B59">
        <v>1.5</v>
      </c>
    </row>
    <row r="60" spans="1:2" x14ac:dyDescent="0.3">
      <c r="A60">
        <v>4</v>
      </c>
      <c r="B60">
        <v>1.76</v>
      </c>
    </row>
    <row r="61" spans="1:2" x14ac:dyDescent="0.3">
      <c r="A61">
        <v>3.23</v>
      </c>
      <c r="B61">
        <v>6.73</v>
      </c>
    </row>
    <row r="62" spans="1:2" x14ac:dyDescent="0.3">
      <c r="A62">
        <v>2.2000000000000002</v>
      </c>
      <c r="B62">
        <v>3.21</v>
      </c>
    </row>
    <row r="63" spans="1:2" x14ac:dyDescent="0.3">
      <c r="A63">
        <v>3.48</v>
      </c>
      <c r="B63">
        <v>2</v>
      </c>
    </row>
    <row r="64" spans="1:2" x14ac:dyDescent="0.3">
      <c r="A64">
        <v>1.92</v>
      </c>
      <c r="B64">
        <v>1.98</v>
      </c>
    </row>
    <row r="65" spans="1:2" x14ac:dyDescent="0.3">
      <c r="A65">
        <v>3</v>
      </c>
      <c r="B65">
        <v>3.76</v>
      </c>
    </row>
    <row r="66" spans="1:2" x14ac:dyDescent="0.3">
      <c r="A66">
        <v>1.58</v>
      </c>
      <c r="B66">
        <v>2.64</v>
      </c>
    </row>
    <row r="67" spans="1:2" x14ac:dyDescent="0.3">
      <c r="A67">
        <v>2.5</v>
      </c>
      <c r="B67">
        <v>3.15</v>
      </c>
    </row>
    <row r="68" spans="1:2" x14ac:dyDescent="0.3">
      <c r="A68">
        <v>2</v>
      </c>
      <c r="B68">
        <v>2.4700000000000002</v>
      </c>
    </row>
    <row r="69" spans="1:2" x14ac:dyDescent="0.3">
      <c r="B69">
        <v>1</v>
      </c>
    </row>
    <row r="70" spans="1:2" x14ac:dyDescent="0.3">
      <c r="B70">
        <v>2.0099999999999998</v>
      </c>
    </row>
    <row r="71" spans="1:2" x14ac:dyDescent="0.3">
      <c r="B71">
        <v>2.09</v>
      </c>
    </row>
    <row r="72" spans="1:2" x14ac:dyDescent="0.3">
      <c r="B72">
        <v>1.97</v>
      </c>
    </row>
    <row r="73" spans="1:2" x14ac:dyDescent="0.3">
      <c r="B73">
        <v>3</v>
      </c>
    </row>
    <row r="74" spans="1:2" x14ac:dyDescent="0.3">
      <c r="B74">
        <v>3.14</v>
      </c>
    </row>
    <row r="75" spans="1:2" x14ac:dyDescent="0.3">
      <c r="B75">
        <v>5</v>
      </c>
    </row>
    <row r="76" spans="1:2" x14ac:dyDescent="0.3">
      <c r="B76">
        <v>2.2000000000000002</v>
      </c>
    </row>
    <row r="77" spans="1:2" x14ac:dyDescent="0.3">
      <c r="B77">
        <v>1.25</v>
      </c>
    </row>
    <row r="78" spans="1:2" x14ac:dyDescent="0.3">
      <c r="B78">
        <v>3.08</v>
      </c>
    </row>
    <row r="79" spans="1:2" x14ac:dyDescent="0.3">
      <c r="B79">
        <v>3</v>
      </c>
    </row>
    <row r="80" spans="1:2" x14ac:dyDescent="0.3">
      <c r="B80">
        <v>3.5</v>
      </c>
    </row>
    <row r="81" spans="2:2" x14ac:dyDescent="0.3">
      <c r="B81">
        <v>1</v>
      </c>
    </row>
    <row r="82" spans="2:2" x14ac:dyDescent="0.3">
      <c r="B82">
        <v>4.3</v>
      </c>
    </row>
    <row r="83" spans="2:2" x14ac:dyDescent="0.3">
      <c r="B83">
        <v>3.25</v>
      </c>
    </row>
    <row r="84" spans="2:2" x14ac:dyDescent="0.3">
      <c r="B84">
        <v>4.7300000000000004</v>
      </c>
    </row>
    <row r="85" spans="2:2" x14ac:dyDescent="0.3">
      <c r="B85">
        <v>4</v>
      </c>
    </row>
    <row r="86" spans="2:2" x14ac:dyDescent="0.3">
      <c r="B86">
        <v>1.5</v>
      </c>
    </row>
    <row r="87" spans="2:2" x14ac:dyDescent="0.3">
      <c r="B87">
        <v>3</v>
      </c>
    </row>
    <row r="88" spans="2:2" x14ac:dyDescent="0.3">
      <c r="B88">
        <v>1.5</v>
      </c>
    </row>
    <row r="89" spans="2:2" x14ac:dyDescent="0.3">
      <c r="B89">
        <v>2.5</v>
      </c>
    </row>
    <row r="90" spans="2:2" x14ac:dyDescent="0.3">
      <c r="B90">
        <v>3</v>
      </c>
    </row>
    <row r="91" spans="2:2" x14ac:dyDescent="0.3">
      <c r="B91">
        <v>2.5</v>
      </c>
    </row>
    <row r="92" spans="2:2" x14ac:dyDescent="0.3">
      <c r="B92">
        <v>3.48</v>
      </c>
    </row>
    <row r="93" spans="2:2" x14ac:dyDescent="0.3">
      <c r="B93">
        <v>4.08</v>
      </c>
    </row>
    <row r="94" spans="2:2" x14ac:dyDescent="0.3">
      <c r="B94">
        <v>1.64</v>
      </c>
    </row>
    <row r="95" spans="2:2" x14ac:dyDescent="0.3">
      <c r="B95">
        <v>4.0599999999999996</v>
      </c>
    </row>
    <row r="96" spans="2:2" x14ac:dyDescent="0.3">
      <c r="B96">
        <v>4.29</v>
      </c>
    </row>
    <row r="97" spans="2:2" x14ac:dyDescent="0.3">
      <c r="B97">
        <v>3.76</v>
      </c>
    </row>
    <row r="98" spans="2:2" x14ac:dyDescent="0.3">
      <c r="B98">
        <v>4</v>
      </c>
    </row>
    <row r="99" spans="2:2" x14ac:dyDescent="0.3">
      <c r="B99">
        <v>3</v>
      </c>
    </row>
    <row r="100" spans="2:2" x14ac:dyDescent="0.3">
      <c r="B100">
        <v>1</v>
      </c>
    </row>
    <row r="101" spans="2:2" x14ac:dyDescent="0.3">
      <c r="B101">
        <v>4</v>
      </c>
    </row>
    <row r="102" spans="2:2" x14ac:dyDescent="0.3">
      <c r="B102">
        <v>2.5499999999999998</v>
      </c>
    </row>
    <row r="103" spans="2:2" x14ac:dyDescent="0.3">
      <c r="B103">
        <v>4</v>
      </c>
    </row>
    <row r="104" spans="2:2" x14ac:dyDescent="0.3">
      <c r="B104">
        <v>3.5</v>
      </c>
    </row>
    <row r="105" spans="2:2" x14ac:dyDescent="0.3">
      <c r="B105">
        <v>5.07</v>
      </c>
    </row>
    <row r="106" spans="2:2" x14ac:dyDescent="0.3">
      <c r="B106">
        <v>2.5</v>
      </c>
    </row>
    <row r="107" spans="2:2" x14ac:dyDescent="0.3">
      <c r="B107">
        <v>2</v>
      </c>
    </row>
    <row r="108" spans="2:2" x14ac:dyDescent="0.3">
      <c r="B108">
        <v>2.74</v>
      </c>
    </row>
    <row r="109" spans="2:2" x14ac:dyDescent="0.3">
      <c r="B109">
        <v>2</v>
      </c>
    </row>
    <row r="110" spans="2:2" x14ac:dyDescent="0.3">
      <c r="B110">
        <v>2</v>
      </c>
    </row>
    <row r="111" spans="2:2" x14ac:dyDescent="0.3">
      <c r="B111">
        <v>5.14</v>
      </c>
    </row>
    <row r="112" spans="2:2" x14ac:dyDescent="0.3">
      <c r="B112">
        <v>5</v>
      </c>
    </row>
    <row r="113" spans="2:2" x14ac:dyDescent="0.3">
      <c r="B113">
        <v>3.75</v>
      </c>
    </row>
    <row r="114" spans="2:2" x14ac:dyDescent="0.3">
      <c r="B114">
        <v>2.61</v>
      </c>
    </row>
    <row r="115" spans="2:2" x14ac:dyDescent="0.3">
      <c r="B115">
        <v>2</v>
      </c>
    </row>
    <row r="116" spans="2:2" x14ac:dyDescent="0.3">
      <c r="B116">
        <v>3.5</v>
      </c>
    </row>
    <row r="117" spans="2:2" x14ac:dyDescent="0.3">
      <c r="B117">
        <v>2.5</v>
      </c>
    </row>
    <row r="118" spans="2:2" x14ac:dyDescent="0.3">
      <c r="B118">
        <v>2</v>
      </c>
    </row>
    <row r="119" spans="2:2" x14ac:dyDescent="0.3">
      <c r="B119">
        <v>2</v>
      </c>
    </row>
    <row r="120" spans="2:2" x14ac:dyDescent="0.3">
      <c r="B120">
        <v>3</v>
      </c>
    </row>
    <row r="121" spans="2:2" x14ac:dyDescent="0.3">
      <c r="B121">
        <v>3.48</v>
      </c>
    </row>
    <row r="122" spans="2:2" x14ac:dyDescent="0.3">
      <c r="B122">
        <v>2.2400000000000002</v>
      </c>
    </row>
    <row r="123" spans="2:2" x14ac:dyDescent="0.3">
      <c r="B123">
        <v>4.5</v>
      </c>
    </row>
    <row r="124" spans="2:2" x14ac:dyDescent="0.3">
      <c r="B124">
        <v>1.61</v>
      </c>
    </row>
    <row r="125" spans="2:2" x14ac:dyDescent="0.3">
      <c r="B125">
        <v>2</v>
      </c>
    </row>
    <row r="126" spans="2:2" x14ac:dyDescent="0.3">
      <c r="B126">
        <v>10</v>
      </c>
    </row>
    <row r="127" spans="2:2" x14ac:dyDescent="0.3">
      <c r="B127">
        <v>3.16</v>
      </c>
    </row>
    <row r="128" spans="2:2" x14ac:dyDescent="0.3">
      <c r="B128">
        <v>5.15</v>
      </c>
    </row>
    <row r="129" spans="2:2" x14ac:dyDescent="0.3">
      <c r="B129">
        <v>3.18</v>
      </c>
    </row>
    <row r="130" spans="2:2" x14ac:dyDescent="0.3">
      <c r="B130">
        <v>4</v>
      </c>
    </row>
    <row r="131" spans="2:2" x14ac:dyDescent="0.3">
      <c r="B131">
        <v>3.11</v>
      </c>
    </row>
    <row r="132" spans="2:2" x14ac:dyDescent="0.3">
      <c r="B132">
        <v>2</v>
      </c>
    </row>
    <row r="133" spans="2:2" x14ac:dyDescent="0.3">
      <c r="B133">
        <v>2</v>
      </c>
    </row>
    <row r="134" spans="2:2" x14ac:dyDescent="0.3">
      <c r="B134">
        <v>4</v>
      </c>
    </row>
    <row r="135" spans="2:2" x14ac:dyDescent="0.3">
      <c r="B135">
        <v>3.55</v>
      </c>
    </row>
    <row r="136" spans="2:2" x14ac:dyDescent="0.3">
      <c r="B136">
        <v>3.68</v>
      </c>
    </row>
    <row r="137" spans="2:2" x14ac:dyDescent="0.3">
      <c r="B137">
        <v>5.65</v>
      </c>
    </row>
    <row r="138" spans="2:2" x14ac:dyDescent="0.3">
      <c r="B138">
        <v>3.5</v>
      </c>
    </row>
    <row r="139" spans="2:2" x14ac:dyDescent="0.3">
      <c r="B139">
        <v>6.5</v>
      </c>
    </row>
    <row r="140" spans="2:2" x14ac:dyDescent="0.3">
      <c r="B140">
        <v>3</v>
      </c>
    </row>
    <row r="141" spans="2:2" x14ac:dyDescent="0.3">
      <c r="B141">
        <v>5</v>
      </c>
    </row>
    <row r="142" spans="2:2" x14ac:dyDescent="0.3">
      <c r="B142">
        <v>3.5</v>
      </c>
    </row>
    <row r="143" spans="2:2" x14ac:dyDescent="0.3">
      <c r="B143">
        <v>2</v>
      </c>
    </row>
    <row r="144" spans="2:2" x14ac:dyDescent="0.3">
      <c r="B144">
        <v>3.5</v>
      </c>
    </row>
    <row r="145" spans="2:2" x14ac:dyDescent="0.3">
      <c r="B145">
        <v>4</v>
      </c>
    </row>
    <row r="146" spans="2:2" x14ac:dyDescent="0.3">
      <c r="B146">
        <v>1.5</v>
      </c>
    </row>
    <row r="147" spans="2:2" x14ac:dyDescent="0.3">
      <c r="B147">
        <v>3.41</v>
      </c>
    </row>
    <row r="148" spans="2:2" x14ac:dyDescent="0.3">
      <c r="B148">
        <v>3</v>
      </c>
    </row>
    <row r="149" spans="2:2" x14ac:dyDescent="0.3">
      <c r="B149">
        <v>2.0299999999999998</v>
      </c>
    </row>
    <row r="150" spans="2:2" x14ac:dyDescent="0.3">
      <c r="B150">
        <v>2.23</v>
      </c>
    </row>
    <row r="151" spans="2:2" x14ac:dyDescent="0.3">
      <c r="B151">
        <v>2</v>
      </c>
    </row>
    <row r="152" spans="2:2" x14ac:dyDescent="0.3">
      <c r="B152">
        <v>5.16</v>
      </c>
    </row>
    <row r="153" spans="2:2" x14ac:dyDescent="0.3">
      <c r="B153">
        <v>9</v>
      </c>
    </row>
    <row r="154" spans="2:2" x14ac:dyDescent="0.3">
      <c r="B154">
        <v>2.5</v>
      </c>
    </row>
    <row r="155" spans="2:2" x14ac:dyDescent="0.3">
      <c r="B155">
        <v>6.5</v>
      </c>
    </row>
    <row r="156" spans="2:2" x14ac:dyDescent="0.3">
      <c r="B156">
        <v>1.1000000000000001</v>
      </c>
    </row>
    <row r="157" spans="2:2" x14ac:dyDescent="0.3">
      <c r="B157">
        <v>3</v>
      </c>
    </row>
    <row r="158" spans="2:2" x14ac:dyDescent="0.3">
      <c r="B158">
        <v>1.5</v>
      </c>
    </row>
    <row r="159" spans="2:2" x14ac:dyDescent="0.3">
      <c r="B159">
        <v>1.44</v>
      </c>
    </row>
    <row r="160" spans="2:2" x14ac:dyDescent="0.3">
      <c r="B160">
        <v>3.09</v>
      </c>
    </row>
    <row r="161" spans="2:2" x14ac:dyDescent="0.3">
      <c r="B161">
        <v>3</v>
      </c>
    </row>
    <row r="162" spans="2:2" x14ac:dyDescent="0.3">
      <c r="B162">
        <v>2.72</v>
      </c>
    </row>
    <row r="163" spans="2:2" x14ac:dyDescent="0.3">
      <c r="B163">
        <v>2.88</v>
      </c>
    </row>
    <row r="164" spans="2:2" x14ac:dyDescent="0.3">
      <c r="B164">
        <v>2</v>
      </c>
    </row>
    <row r="165" spans="2:2" x14ac:dyDescent="0.3">
      <c r="B165">
        <v>3</v>
      </c>
    </row>
    <row r="166" spans="2:2" x14ac:dyDescent="0.3">
      <c r="B166">
        <v>3.39</v>
      </c>
    </row>
    <row r="167" spans="2:2" x14ac:dyDescent="0.3">
      <c r="B167">
        <v>1.47</v>
      </c>
    </row>
    <row r="168" spans="2:2" x14ac:dyDescent="0.3">
      <c r="B168">
        <v>3</v>
      </c>
    </row>
    <row r="169" spans="2:2" x14ac:dyDescent="0.3">
      <c r="B169">
        <v>1.25</v>
      </c>
    </row>
    <row r="170" spans="2:2" x14ac:dyDescent="0.3">
      <c r="B170">
        <v>1</v>
      </c>
    </row>
    <row r="171" spans="2:2" x14ac:dyDescent="0.3">
      <c r="B171">
        <v>1.17</v>
      </c>
    </row>
    <row r="172" spans="2:2" x14ac:dyDescent="0.3">
      <c r="B172">
        <v>4.67</v>
      </c>
    </row>
    <row r="173" spans="2:2" x14ac:dyDescent="0.3">
      <c r="B173">
        <v>5.92</v>
      </c>
    </row>
    <row r="174" spans="2:2" x14ac:dyDescent="0.3">
      <c r="B174">
        <v>2</v>
      </c>
    </row>
    <row r="175" spans="2:2" x14ac:dyDescent="0.3">
      <c r="B175">
        <v>2</v>
      </c>
    </row>
    <row r="176" spans="2:2" x14ac:dyDescent="0.3">
      <c r="B176">
        <v>1.75</v>
      </c>
    </row>
    <row r="177" spans="2:2" x14ac:dyDescent="0.3">
      <c r="B177">
        <v>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368924-BDF9-48D4-8B4C-4569E03A87F7}">
  <dimension ref="A3:H28"/>
  <sheetViews>
    <sheetView zoomScale="121" workbookViewId="0">
      <selection activeCell="H19" sqref="H19"/>
    </sheetView>
  </sheetViews>
  <sheetFormatPr defaultRowHeight="14.4" x14ac:dyDescent="0.3"/>
  <cols>
    <col min="6" max="7" width="12.5546875" bestFit="1" customWidth="1"/>
    <col min="8" max="8" width="19" bestFit="1" customWidth="1"/>
    <col min="9" max="9" width="12.5546875" bestFit="1" customWidth="1"/>
    <col min="10" max="10" width="19" bestFit="1" customWidth="1"/>
  </cols>
  <sheetData>
    <row r="3" spans="2:8" x14ac:dyDescent="0.3">
      <c r="B3" t="s">
        <v>26</v>
      </c>
      <c r="G3">
        <f>COUNT('tips dataset'!G1:G245)</f>
        <v>243</v>
      </c>
    </row>
    <row r="4" spans="2:8" x14ac:dyDescent="0.3">
      <c r="B4" t="s">
        <v>27</v>
      </c>
      <c r="G4">
        <v>0</v>
      </c>
    </row>
    <row r="5" spans="2:8" x14ac:dyDescent="0.3">
      <c r="B5" t="s">
        <v>28</v>
      </c>
      <c r="G5">
        <v>0</v>
      </c>
    </row>
    <row r="6" spans="2:8" x14ac:dyDescent="0.3">
      <c r="B6" t="s">
        <v>29</v>
      </c>
      <c r="G6" s="2">
        <f>COUNTIF('tips dataset'!B1:$B$244,"Yes")/G3</f>
        <v>0.37860082304526749</v>
      </c>
    </row>
    <row r="7" spans="2:8" x14ac:dyDescent="0.3">
      <c r="B7" s="103" t="s">
        <v>30</v>
      </c>
      <c r="C7" s="103"/>
      <c r="D7" s="103"/>
      <c r="E7" s="103"/>
      <c r="F7" s="103"/>
      <c r="G7" s="4" t="s">
        <v>67</v>
      </c>
      <c r="H7" t="s">
        <v>458</v>
      </c>
    </row>
    <row r="8" spans="2:8" x14ac:dyDescent="0.3">
      <c r="G8" s="5" t="s">
        <v>10</v>
      </c>
      <c r="H8" s="10">
        <v>0.72427983539094654</v>
      </c>
    </row>
    <row r="9" spans="2:8" x14ac:dyDescent="0.3">
      <c r="G9" s="5" t="s">
        <v>24</v>
      </c>
      <c r="H9" s="10">
        <v>0.27572016460905352</v>
      </c>
    </row>
    <row r="11" spans="2:8" x14ac:dyDescent="0.3">
      <c r="C11" t="s">
        <v>459</v>
      </c>
      <c r="G11" s="4" t="s">
        <v>460</v>
      </c>
      <c r="H11" t="s">
        <v>458</v>
      </c>
    </row>
    <row r="12" spans="2:8" x14ac:dyDescent="0.3">
      <c r="G12" s="5" t="s">
        <v>21</v>
      </c>
      <c r="H12" s="111">
        <v>87</v>
      </c>
    </row>
    <row r="13" spans="2:8" x14ac:dyDescent="0.3">
      <c r="G13" s="5" t="s">
        <v>9</v>
      </c>
      <c r="H13" s="111">
        <v>76</v>
      </c>
    </row>
    <row r="14" spans="2:8" x14ac:dyDescent="0.3">
      <c r="G14" s="5" t="s">
        <v>23</v>
      </c>
      <c r="H14" s="111">
        <v>61</v>
      </c>
    </row>
    <row r="15" spans="2:8" x14ac:dyDescent="0.3">
      <c r="G15" s="5" t="s">
        <v>25</v>
      </c>
      <c r="H15" s="111">
        <v>19</v>
      </c>
    </row>
    <row r="18" spans="1:8" x14ac:dyDescent="0.3">
      <c r="B18" t="s">
        <v>461</v>
      </c>
      <c r="G18" s="4" t="s">
        <v>66</v>
      </c>
      <c r="H18" t="s">
        <v>458</v>
      </c>
    </row>
    <row r="19" spans="1:8" x14ac:dyDescent="0.3">
      <c r="A19">
        <v>1</v>
      </c>
      <c r="B19" t="s">
        <v>462</v>
      </c>
      <c r="G19" s="5" t="s">
        <v>21</v>
      </c>
      <c r="H19" s="10">
        <v>0.35802469135802467</v>
      </c>
    </row>
    <row r="20" spans="1:8" x14ac:dyDescent="0.3">
      <c r="A20">
        <v>2</v>
      </c>
      <c r="B20" t="s">
        <v>463</v>
      </c>
      <c r="G20" s="112" t="s">
        <v>10</v>
      </c>
      <c r="H20" s="10">
        <v>1</v>
      </c>
    </row>
    <row r="21" spans="1:8" x14ac:dyDescent="0.3">
      <c r="B21" t="s">
        <v>464</v>
      </c>
      <c r="G21" s="5" t="s">
        <v>9</v>
      </c>
      <c r="H21" s="10">
        <v>0.31275720164609055</v>
      </c>
    </row>
    <row r="22" spans="1:8" x14ac:dyDescent="0.3">
      <c r="B22" t="s">
        <v>465</v>
      </c>
      <c r="G22" s="112" t="s">
        <v>10</v>
      </c>
      <c r="H22" s="10">
        <v>1</v>
      </c>
    </row>
    <row r="23" spans="1:8" x14ac:dyDescent="0.3">
      <c r="A23">
        <v>3</v>
      </c>
      <c r="B23" t="s">
        <v>467</v>
      </c>
      <c r="G23" s="5" t="s">
        <v>23</v>
      </c>
      <c r="H23" s="10">
        <v>0.25102880658436216</v>
      </c>
    </row>
    <row r="24" spans="1:8" x14ac:dyDescent="0.3">
      <c r="B24" t="s">
        <v>466</v>
      </c>
      <c r="G24" s="112" t="s">
        <v>10</v>
      </c>
      <c r="H24" s="10">
        <v>1.6393442622950821E-2</v>
      </c>
    </row>
    <row r="25" spans="1:8" x14ac:dyDescent="0.3">
      <c r="G25" s="112" t="s">
        <v>24</v>
      </c>
      <c r="H25" s="10">
        <v>0.98360655737704916</v>
      </c>
    </row>
    <row r="26" spans="1:8" x14ac:dyDescent="0.3">
      <c r="G26" s="5" t="s">
        <v>25</v>
      </c>
      <c r="H26" s="10">
        <v>7.8189300411522639E-2</v>
      </c>
    </row>
    <row r="27" spans="1:8" x14ac:dyDescent="0.3">
      <c r="G27" s="112" t="s">
        <v>10</v>
      </c>
      <c r="H27" s="10">
        <v>0.63157894736842102</v>
      </c>
    </row>
    <row r="28" spans="1:8" x14ac:dyDescent="0.3">
      <c r="G28" s="112" t="s">
        <v>24</v>
      </c>
      <c r="H28" s="10">
        <v>0.36842105263157893</v>
      </c>
    </row>
  </sheetData>
  <mergeCells count="1">
    <mergeCell ref="B7:F7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B1E2D2-67E2-4DC8-BA98-9035E5DAD605}">
  <dimension ref="B1:C152"/>
  <sheetViews>
    <sheetView topLeftCell="B1" workbookViewId="0">
      <selection activeCell="C4" sqref="C4"/>
    </sheetView>
  </sheetViews>
  <sheetFormatPr defaultRowHeight="14.4" x14ac:dyDescent="0.3"/>
  <cols>
    <col min="1" max="1" width="12.5546875" bestFit="1" customWidth="1"/>
    <col min="2" max="2" width="15.5546875" bestFit="1" customWidth="1"/>
    <col min="3" max="3" width="11.88671875" bestFit="1" customWidth="1"/>
    <col min="4" max="5" width="10.77734375" bestFit="1" customWidth="1"/>
    <col min="6" max="124" width="15.5546875" bestFit="1" customWidth="1"/>
    <col min="125" max="125" width="10.77734375" bestFit="1" customWidth="1"/>
  </cols>
  <sheetData>
    <row r="1" spans="2:3" x14ac:dyDescent="0.3">
      <c r="B1" t="s">
        <v>87</v>
      </c>
      <c r="C1" t="s">
        <v>86</v>
      </c>
    </row>
    <row r="2" spans="2:3" x14ac:dyDescent="0.3">
      <c r="B2">
        <v>1.01</v>
      </c>
      <c r="C2">
        <v>3</v>
      </c>
    </row>
    <row r="3" spans="2:3" x14ac:dyDescent="0.3">
      <c r="B3">
        <v>1.66</v>
      </c>
      <c r="C3">
        <v>1.76</v>
      </c>
    </row>
    <row r="4" spans="2:3" x14ac:dyDescent="0.3">
      <c r="B4">
        <v>3.5</v>
      </c>
      <c r="C4">
        <v>3.21</v>
      </c>
    </row>
    <row r="5" spans="2:3" x14ac:dyDescent="0.3">
      <c r="B5">
        <v>3.31</v>
      </c>
      <c r="C5">
        <v>2</v>
      </c>
    </row>
    <row r="6" spans="2:3" x14ac:dyDescent="0.3">
      <c r="B6">
        <v>3.61</v>
      </c>
      <c r="C6">
        <v>1.98</v>
      </c>
    </row>
    <row r="7" spans="2:3" x14ac:dyDescent="0.3">
      <c r="B7">
        <v>4.71</v>
      </c>
      <c r="C7">
        <v>3.76</v>
      </c>
    </row>
    <row r="8" spans="2:3" x14ac:dyDescent="0.3">
      <c r="B8">
        <v>2</v>
      </c>
      <c r="C8">
        <v>1</v>
      </c>
    </row>
    <row r="9" spans="2:3" x14ac:dyDescent="0.3">
      <c r="B9">
        <v>3.12</v>
      </c>
      <c r="C9">
        <v>2.09</v>
      </c>
    </row>
    <row r="10" spans="2:3" x14ac:dyDescent="0.3">
      <c r="B10">
        <v>1.96</v>
      </c>
      <c r="C10">
        <v>3.14</v>
      </c>
    </row>
    <row r="11" spans="2:3" x14ac:dyDescent="0.3">
      <c r="B11">
        <v>3.23</v>
      </c>
      <c r="C11">
        <v>5</v>
      </c>
    </row>
    <row r="12" spans="2:3" x14ac:dyDescent="0.3">
      <c r="B12">
        <v>1.71</v>
      </c>
      <c r="C12">
        <v>3.08</v>
      </c>
    </row>
    <row r="13" spans="2:3" x14ac:dyDescent="0.3">
      <c r="B13">
        <v>5</v>
      </c>
      <c r="C13">
        <v>3</v>
      </c>
    </row>
    <row r="14" spans="2:3" x14ac:dyDescent="0.3">
      <c r="B14">
        <v>1.57</v>
      </c>
      <c r="C14">
        <v>5</v>
      </c>
    </row>
    <row r="15" spans="2:3" x14ac:dyDescent="0.3">
      <c r="B15">
        <v>3</v>
      </c>
      <c r="C15">
        <v>3</v>
      </c>
    </row>
    <row r="16" spans="2:3" x14ac:dyDescent="0.3">
      <c r="B16">
        <v>3.02</v>
      </c>
      <c r="C16">
        <v>1</v>
      </c>
    </row>
    <row r="17" spans="2:3" x14ac:dyDescent="0.3">
      <c r="B17">
        <v>3.92</v>
      </c>
      <c r="C17">
        <v>4.3</v>
      </c>
    </row>
    <row r="18" spans="2:3" x14ac:dyDescent="0.3">
      <c r="B18">
        <v>1.67</v>
      </c>
      <c r="C18">
        <v>4.7300000000000004</v>
      </c>
    </row>
    <row r="19" spans="2:3" x14ac:dyDescent="0.3">
      <c r="B19">
        <v>3.71</v>
      </c>
      <c r="C19">
        <v>4</v>
      </c>
    </row>
    <row r="20" spans="2:3" x14ac:dyDescent="0.3">
      <c r="B20">
        <v>3.5</v>
      </c>
      <c r="C20">
        <v>1.5</v>
      </c>
    </row>
    <row r="21" spans="2:3" x14ac:dyDescent="0.3">
      <c r="B21">
        <v>3.35</v>
      </c>
      <c r="C21">
        <v>3</v>
      </c>
    </row>
    <row r="22" spans="2:3" x14ac:dyDescent="0.3">
      <c r="B22">
        <v>4.08</v>
      </c>
      <c r="C22">
        <v>2.5</v>
      </c>
    </row>
    <row r="23" spans="2:3" x14ac:dyDescent="0.3">
      <c r="B23">
        <v>2.75</v>
      </c>
      <c r="C23">
        <v>3</v>
      </c>
    </row>
    <row r="24" spans="2:3" x14ac:dyDescent="0.3">
      <c r="B24">
        <v>2.23</v>
      </c>
      <c r="C24">
        <v>2.5</v>
      </c>
    </row>
    <row r="25" spans="2:3" x14ac:dyDescent="0.3">
      <c r="B25">
        <v>7.58</v>
      </c>
      <c r="C25">
        <v>3.48</v>
      </c>
    </row>
    <row r="26" spans="2:3" x14ac:dyDescent="0.3">
      <c r="B26">
        <v>3.18</v>
      </c>
      <c r="C26">
        <v>1.64</v>
      </c>
    </row>
    <row r="27" spans="2:3" x14ac:dyDescent="0.3">
      <c r="B27">
        <v>2.34</v>
      </c>
      <c r="C27">
        <v>4.0599999999999996</v>
      </c>
    </row>
    <row r="28" spans="2:3" x14ac:dyDescent="0.3">
      <c r="B28">
        <v>2</v>
      </c>
      <c r="C28">
        <v>4.29</v>
      </c>
    </row>
    <row r="29" spans="2:3" x14ac:dyDescent="0.3">
      <c r="B29">
        <v>2</v>
      </c>
      <c r="C29">
        <v>4</v>
      </c>
    </row>
    <row r="30" spans="2:3" x14ac:dyDescent="0.3">
      <c r="B30">
        <v>4.3</v>
      </c>
      <c r="C30">
        <v>2</v>
      </c>
    </row>
    <row r="31" spans="2:3" x14ac:dyDescent="0.3">
      <c r="B31">
        <v>3</v>
      </c>
      <c r="C31">
        <v>3</v>
      </c>
    </row>
    <row r="32" spans="2:3" x14ac:dyDescent="0.3">
      <c r="B32">
        <v>1.45</v>
      </c>
      <c r="C32">
        <v>1.61</v>
      </c>
    </row>
    <row r="33" spans="2:3" x14ac:dyDescent="0.3">
      <c r="B33">
        <v>2.5</v>
      </c>
      <c r="C33">
        <v>2</v>
      </c>
    </row>
    <row r="34" spans="2:3" x14ac:dyDescent="0.3">
      <c r="B34">
        <v>3</v>
      </c>
      <c r="C34">
        <v>10</v>
      </c>
    </row>
    <row r="35" spans="2:3" x14ac:dyDescent="0.3">
      <c r="B35">
        <v>2.4500000000000002</v>
      </c>
      <c r="C35">
        <v>3.16</v>
      </c>
    </row>
    <row r="36" spans="2:3" x14ac:dyDescent="0.3">
      <c r="B36">
        <v>3.27</v>
      </c>
      <c r="C36">
        <v>5.15</v>
      </c>
    </row>
    <row r="37" spans="2:3" x14ac:dyDescent="0.3">
      <c r="B37">
        <v>3.6</v>
      </c>
      <c r="C37">
        <v>3.18</v>
      </c>
    </row>
    <row r="38" spans="2:3" x14ac:dyDescent="0.3">
      <c r="B38">
        <v>2</v>
      </c>
      <c r="C38">
        <v>4</v>
      </c>
    </row>
    <row r="39" spans="2:3" x14ac:dyDescent="0.3">
      <c r="B39">
        <v>3.07</v>
      </c>
      <c r="C39">
        <v>3.11</v>
      </c>
    </row>
    <row r="40" spans="2:3" x14ac:dyDescent="0.3">
      <c r="B40">
        <v>2.31</v>
      </c>
      <c r="C40">
        <v>2</v>
      </c>
    </row>
    <row r="41" spans="2:3" x14ac:dyDescent="0.3">
      <c r="B41">
        <v>5</v>
      </c>
      <c r="C41">
        <v>2</v>
      </c>
    </row>
    <row r="42" spans="2:3" x14ac:dyDescent="0.3">
      <c r="B42">
        <v>2.2400000000000002</v>
      </c>
      <c r="C42">
        <v>4</v>
      </c>
    </row>
    <row r="43" spans="2:3" x14ac:dyDescent="0.3">
      <c r="B43">
        <v>2.54</v>
      </c>
      <c r="C43">
        <v>3.55</v>
      </c>
    </row>
    <row r="44" spans="2:3" x14ac:dyDescent="0.3">
      <c r="B44">
        <v>3.06</v>
      </c>
      <c r="C44">
        <v>3.68</v>
      </c>
    </row>
    <row r="45" spans="2:3" x14ac:dyDescent="0.3">
      <c r="B45">
        <v>1.32</v>
      </c>
      <c r="C45">
        <v>5.65</v>
      </c>
    </row>
    <row r="46" spans="2:3" x14ac:dyDescent="0.3">
      <c r="B46">
        <v>5.6</v>
      </c>
      <c r="C46">
        <v>3.5</v>
      </c>
    </row>
    <row r="47" spans="2:3" x14ac:dyDescent="0.3">
      <c r="B47">
        <v>3</v>
      </c>
      <c r="C47">
        <v>6.5</v>
      </c>
    </row>
    <row r="48" spans="2:3" x14ac:dyDescent="0.3">
      <c r="B48">
        <v>5</v>
      </c>
      <c r="C48">
        <v>3</v>
      </c>
    </row>
    <row r="49" spans="2:3" x14ac:dyDescent="0.3">
      <c r="B49">
        <v>6</v>
      </c>
      <c r="C49">
        <v>3.5</v>
      </c>
    </row>
    <row r="50" spans="2:3" x14ac:dyDescent="0.3">
      <c r="B50">
        <v>2.0499999999999998</v>
      </c>
      <c r="C50">
        <v>2</v>
      </c>
    </row>
    <row r="51" spans="2:3" x14ac:dyDescent="0.3">
      <c r="B51">
        <v>3</v>
      </c>
      <c r="C51">
        <v>3.5</v>
      </c>
    </row>
    <row r="52" spans="2:3" x14ac:dyDescent="0.3">
      <c r="B52">
        <v>2.5</v>
      </c>
      <c r="C52">
        <v>4</v>
      </c>
    </row>
    <row r="53" spans="2:3" x14ac:dyDescent="0.3">
      <c r="B53">
        <v>2.6</v>
      </c>
      <c r="C53">
        <v>1.5</v>
      </c>
    </row>
    <row r="54" spans="2:3" x14ac:dyDescent="0.3">
      <c r="B54">
        <v>5.2</v>
      </c>
      <c r="C54">
        <v>4.1900000000000004</v>
      </c>
    </row>
    <row r="55" spans="2:3" x14ac:dyDescent="0.3">
      <c r="B55">
        <v>1.56</v>
      </c>
      <c r="C55">
        <v>2.56</v>
      </c>
    </row>
    <row r="56" spans="2:3" x14ac:dyDescent="0.3">
      <c r="B56">
        <v>4.34</v>
      </c>
      <c r="C56">
        <v>2.02</v>
      </c>
    </row>
    <row r="57" spans="2:3" x14ac:dyDescent="0.3">
      <c r="B57">
        <v>3.51</v>
      </c>
      <c r="C57">
        <v>4</v>
      </c>
    </row>
    <row r="58" spans="2:3" x14ac:dyDescent="0.3">
      <c r="B58">
        <v>1.5</v>
      </c>
      <c r="C58">
        <v>2</v>
      </c>
    </row>
    <row r="59" spans="2:3" x14ac:dyDescent="0.3">
      <c r="B59">
        <v>6.73</v>
      </c>
      <c r="C59">
        <v>5</v>
      </c>
    </row>
    <row r="60" spans="2:3" x14ac:dyDescent="0.3">
      <c r="B60">
        <v>2.64</v>
      </c>
      <c r="C60">
        <v>2</v>
      </c>
    </row>
    <row r="61" spans="2:3" x14ac:dyDescent="0.3">
      <c r="B61">
        <v>3.15</v>
      </c>
      <c r="C61">
        <v>2</v>
      </c>
    </row>
    <row r="62" spans="2:3" x14ac:dyDescent="0.3">
      <c r="B62">
        <v>2.4700000000000002</v>
      </c>
      <c r="C62">
        <v>4</v>
      </c>
    </row>
    <row r="63" spans="2:3" x14ac:dyDescent="0.3">
      <c r="B63">
        <v>2.0099999999999998</v>
      </c>
      <c r="C63">
        <v>2.0099999999999998</v>
      </c>
    </row>
    <row r="64" spans="2:3" x14ac:dyDescent="0.3">
      <c r="B64">
        <v>1.97</v>
      </c>
      <c r="C64">
        <v>2.5</v>
      </c>
    </row>
    <row r="65" spans="2:3" x14ac:dyDescent="0.3">
      <c r="B65">
        <v>3</v>
      </c>
      <c r="C65">
        <v>4</v>
      </c>
    </row>
    <row r="66" spans="2:3" x14ac:dyDescent="0.3">
      <c r="B66">
        <v>2.2000000000000002</v>
      </c>
      <c r="C66">
        <v>3.23</v>
      </c>
    </row>
    <row r="67" spans="2:3" x14ac:dyDescent="0.3">
      <c r="B67">
        <v>1.25</v>
      </c>
      <c r="C67">
        <v>3.41</v>
      </c>
    </row>
    <row r="68" spans="2:3" x14ac:dyDescent="0.3">
      <c r="B68">
        <v>4</v>
      </c>
      <c r="C68">
        <v>3</v>
      </c>
    </row>
    <row r="69" spans="2:3" x14ac:dyDescent="0.3">
      <c r="B69">
        <v>3</v>
      </c>
      <c r="C69">
        <v>2.0299999999999998</v>
      </c>
    </row>
    <row r="70" spans="2:3" x14ac:dyDescent="0.3">
      <c r="B70">
        <v>2.71</v>
      </c>
      <c r="C70">
        <v>2.23</v>
      </c>
    </row>
    <row r="71" spans="2:3" x14ac:dyDescent="0.3">
      <c r="B71">
        <v>3.4</v>
      </c>
      <c r="C71">
        <v>2</v>
      </c>
    </row>
    <row r="72" spans="2:3" x14ac:dyDescent="0.3">
      <c r="B72">
        <v>1.83</v>
      </c>
      <c r="C72">
        <v>5.16</v>
      </c>
    </row>
    <row r="73" spans="2:3" x14ac:dyDescent="0.3">
      <c r="B73">
        <v>2.0299999999999998</v>
      </c>
      <c r="C73">
        <v>2.5</v>
      </c>
    </row>
    <row r="74" spans="2:3" x14ac:dyDescent="0.3">
      <c r="B74">
        <v>5.17</v>
      </c>
      <c r="C74">
        <v>6.5</v>
      </c>
    </row>
    <row r="75" spans="2:3" x14ac:dyDescent="0.3">
      <c r="B75">
        <v>2</v>
      </c>
      <c r="C75">
        <v>1.1000000000000001</v>
      </c>
    </row>
    <row r="76" spans="2:3" x14ac:dyDescent="0.3">
      <c r="B76">
        <v>4</v>
      </c>
      <c r="C76">
        <v>3</v>
      </c>
    </row>
    <row r="77" spans="2:3" x14ac:dyDescent="0.3">
      <c r="B77">
        <v>5.85</v>
      </c>
      <c r="C77">
        <v>1.5</v>
      </c>
    </row>
    <row r="78" spans="2:3" x14ac:dyDescent="0.3">
      <c r="B78">
        <v>3</v>
      </c>
      <c r="C78">
        <v>1.44</v>
      </c>
    </row>
    <row r="79" spans="2:3" x14ac:dyDescent="0.3">
      <c r="B79">
        <v>3.5</v>
      </c>
      <c r="C79">
        <v>3.09</v>
      </c>
    </row>
    <row r="80" spans="2:3" x14ac:dyDescent="0.3">
      <c r="B80">
        <v>3.25</v>
      </c>
      <c r="C80">
        <v>2.2000000000000002</v>
      </c>
    </row>
    <row r="81" spans="2:3" x14ac:dyDescent="0.3">
      <c r="B81">
        <v>1.5</v>
      </c>
      <c r="C81">
        <v>3.48</v>
      </c>
    </row>
    <row r="82" spans="2:3" x14ac:dyDescent="0.3">
      <c r="B82">
        <v>4.08</v>
      </c>
      <c r="C82">
        <v>1.92</v>
      </c>
    </row>
    <row r="83" spans="2:3" x14ac:dyDescent="0.3">
      <c r="B83">
        <v>3.76</v>
      </c>
      <c r="C83">
        <v>1.58</v>
      </c>
    </row>
    <row r="84" spans="2:3" x14ac:dyDescent="0.3">
      <c r="B84">
        <v>3</v>
      </c>
      <c r="C84">
        <v>2.5</v>
      </c>
    </row>
    <row r="85" spans="2:3" x14ac:dyDescent="0.3">
      <c r="B85">
        <v>1</v>
      </c>
      <c r="C85">
        <v>2</v>
      </c>
    </row>
    <row r="86" spans="2:3" x14ac:dyDescent="0.3">
      <c r="B86">
        <v>4</v>
      </c>
      <c r="C86">
        <v>2.88</v>
      </c>
    </row>
    <row r="87" spans="2:3" x14ac:dyDescent="0.3">
      <c r="B87">
        <v>2.5499999999999998</v>
      </c>
      <c r="C87">
        <v>2</v>
      </c>
    </row>
    <row r="88" spans="2:3" x14ac:dyDescent="0.3">
      <c r="B88">
        <v>4</v>
      </c>
      <c r="C88">
        <v>3</v>
      </c>
    </row>
    <row r="89" spans="2:3" x14ac:dyDescent="0.3">
      <c r="B89">
        <v>3.5</v>
      </c>
      <c r="C89">
        <v>3</v>
      </c>
    </row>
    <row r="90" spans="2:3" x14ac:dyDescent="0.3">
      <c r="B90">
        <v>5.07</v>
      </c>
      <c r="C90">
        <v>1</v>
      </c>
    </row>
    <row r="91" spans="2:3" x14ac:dyDescent="0.3">
      <c r="B91">
        <v>1.5</v>
      </c>
      <c r="C91">
        <v>1.17</v>
      </c>
    </row>
    <row r="92" spans="2:3" x14ac:dyDescent="0.3">
      <c r="B92">
        <v>1.8</v>
      </c>
      <c r="C92">
        <v>2</v>
      </c>
    </row>
    <row r="93" spans="2:3" x14ac:dyDescent="0.3">
      <c r="B93">
        <v>2.92</v>
      </c>
      <c r="C93">
        <v>2</v>
      </c>
    </row>
    <row r="94" spans="2:3" x14ac:dyDescent="0.3">
      <c r="B94">
        <v>2.31</v>
      </c>
    </row>
    <row r="95" spans="2:3" x14ac:dyDescent="0.3">
      <c r="B95">
        <v>1.68</v>
      </c>
    </row>
    <row r="96" spans="2:3" x14ac:dyDescent="0.3">
      <c r="B96">
        <v>2.5</v>
      </c>
    </row>
    <row r="97" spans="2:2" x14ac:dyDescent="0.3">
      <c r="B97">
        <v>2</v>
      </c>
    </row>
    <row r="98" spans="2:2" x14ac:dyDescent="0.3">
      <c r="B98">
        <v>2.52</v>
      </c>
    </row>
    <row r="99" spans="2:2" x14ac:dyDescent="0.3">
      <c r="B99">
        <v>4.2</v>
      </c>
    </row>
    <row r="100" spans="2:2" x14ac:dyDescent="0.3">
      <c r="B100">
        <v>1.48</v>
      </c>
    </row>
    <row r="101" spans="2:2" x14ac:dyDescent="0.3">
      <c r="B101">
        <v>2</v>
      </c>
    </row>
    <row r="102" spans="2:2" x14ac:dyDescent="0.3">
      <c r="B102">
        <v>2</v>
      </c>
    </row>
    <row r="103" spans="2:2" x14ac:dyDescent="0.3">
      <c r="B103">
        <v>2.1800000000000002</v>
      </c>
    </row>
    <row r="104" spans="2:2" x14ac:dyDescent="0.3">
      <c r="B104">
        <v>1.5</v>
      </c>
    </row>
    <row r="105" spans="2:2" x14ac:dyDescent="0.3">
      <c r="B105">
        <v>2.83</v>
      </c>
    </row>
    <row r="106" spans="2:2" x14ac:dyDescent="0.3">
      <c r="B106">
        <v>1.5</v>
      </c>
    </row>
    <row r="107" spans="2:2" x14ac:dyDescent="0.3">
      <c r="B107">
        <v>2</v>
      </c>
    </row>
    <row r="108" spans="2:2" x14ac:dyDescent="0.3">
      <c r="B108">
        <v>3.25</v>
      </c>
    </row>
    <row r="109" spans="2:2" x14ac:dyDescent="0.3">
      <c r="B109">
        <v>1.25</v>
      </c>
    </row>
    <row r="110" spans="2:2" x14ac:dyDescent="0.3">
      <c r="B110">
        <v>2</v>
      </c>
    </row>
    <row r="111" spans="2:2" x14ac:dyDescent="0.3">
      <c r="B111">
        <v>2</v>
      </c>
    </row>
    <row r="112" spans="2:2" x14ac:dyDescent="0.3">
      <c r="B112">
        <v>2.75</v>
      </c>
    </row>
    <row r="113" spans="2:2" x14ac:dyDescent="0.3">
      <c r="B113">
        <v>3.5</v>
      </c>
    </row>
    <row r="114" spans="2:2" x14ac:dyDescent="0.3">
      <c r="B114">
        <v>6.7</v>
      </c>
    </row>
    <row r="115" spans="2:2" x14ac:dyDescent="0.3">
      <c r="B115">
        <v>5</v>
      </c>
    </row>
    <row r="116" spans="2:2" x14ac:dyDescent="0.3">
      <c r="B116">
        <v>5</v>
      </c>
    </row>
    <row r="117" spans="2:2" x14ac:dyDescent="0.3">
      <c r="B117">
        <v>2.2999999999999998</v>
      </c>
    </row>
    <row r="118" spans="2:2" x14ac:dyDescent="0.3">
      <c r="B118">
        <v>1.5</v>
      </c>
    </row>
    <row r="119" spans="2:2" x14ac:dyDescent="0.3">
      <c r="B119">
        <v>1.36</v>
      </c>
    </row>
    <row r="120" spans="2:2" x14ac:dyDescent="0.3">
      <c r="B120">
        <v>1.63</v>
      </c>
    </row>
    <row r="121" spans="2:2" x14ac:dyDescent="0.3">
      <c r="B121">
        <v>1.73</v>
      </c>
    </row>
    <row r="122" spans="2:2" x14ac:dyDescent="0.3">
      <c r="B122">
        <v>2</v>
      </c>
    </row>
    <row r="123" spans="2:2" x14ac:dyDescent="0.3">
      <c r="B123">
        <v>2.5</v>
      </c>
    </row>
    <row r="124" spans="2:2" x14ac:dyDescent="0.3">
      <c r="B124">
        <v>2</v>
      </c>
    </row>
    <row r="125" spans="2:2" x14ac:dyDescent="0.3">
      <c r="B125">
        <v>2.74</v>
      </c>
    </row>
    <row r="126" spans="2:2" x14ac:dyDescent="0.3">
      <c r="B126">
        <v>2</v>
      </c>
    </row>
    <row r="127" spans="2:2" x14ac:dyDescent="0.3">
      <c r="B127">
        <v>2</v>
      </c>
    </row>
    <row r="128" spans="2:2" x14ac:dyDescent="0.3">
      <c r="B128">
        <v>5.14</v>
      </c>
    </row>
    <row r="129" spans="2:2" x14ac:dyDescent="0.3">
      <c r="B129">
        <v>5</v>
      </c>
    </row>
    <row r="130" spans="2:2" x14ac:dyDescent="0.3">
      <c r="B130">
        <v>3.75</v>
      </c>
    </row>
    <row r="131" spans="2:2" x14ac:dyDescent="0.3">
      <c r="B131">
        <v>2.61</v>
      </c>
    </row>
    <row r="132" spans="2:2" x14ac:dyDescent="0.3">
      <c r="B132">
        <v>2</v>
      </c>
    </row>
    <row r="133" spans="2:2" x14ac:dyDescent="0.3">
      <c r="B133">
        <v>3.5</v>
      </c>
    </row>
    <row r="134" spans="2:2" x14ac:dyDescent="0.3">
      <c r="B134">
        <v>2.5</v>
      </c>
    </row>
    <row r="135" spans="2:2" x14ac:dyDescent="0.3">
      <c r="B135">
        <v>2</v>
      </c>
    </row>
    <row r="136" spans="2:2" x14ac:dyDescent="0.3">
      <c r="B136">
        <v>2</v>
      </c>
    </row>
    <row r="137" spans="2:2" x14ac:dyDescent="0.3">
      <c r="B137">
        <v>3.48</v>
      </c>
    </row>
    <row r="138" spans="2:2" x14ac:dyDescent="0.3">
      <c r="B138">
        <v>2.2400000000000002</v>
      </c>
    </row>
    <row r="139" spans="2:2" x14ac:dyDescent="0.3">
      <c r="B139">
        <v>4.5</v>
      </c>
    </row>
    <row r="140" spans="2:2" x14ac:dyDescent="0.3">
      <c r="B140">
        <v>5</v>
      </c>
    </row>
    <row r="141" spans="2:2" x14ac:dyDescent="0.3">
      <c r="B141">
        <v>1.44</v>
      </c>
    </row>
    <row r="142" spans="2:2" x14ac:dyDescent="0.3">
      <c r="B142">
        <v>9</v>
      </c>
    </row>
    <row r="143" spans="2:2" x14ac:dyDescent="0.3">
      <c r="B143">
        <v>3</v>
      </c>
    </row>
    <row r="144" spans="2:2" x14ac:dyDescent="0.3">
      <c r="B144">
        <v>3</v>
      </c>
    </row>
    <row r="145" spans="2:2" x14ac:dyDescent="0.3">
      <c r="B145">
        <v>2.72</v>
      </c>
    </row>
    <row r="146" spans="2:2" x14ac:dyDescent="0.3">
      <c r="B146">
        <v>3.39</v>
      </c>
    </row>
    <row r="147" spans="2:2" x14ac:dyDescent="0.3">
      <c r="B147">
        <v>1.47</v>
      </c>
    </row>
    <row r="148" spans="2:2" x14ac:dyDescent="0.3">
      <c r="B148">
        <v>1.25</v>
      </c>
    </row>
    <row r="149" spans="2:2" x14ac:dyDescent="0.3">
      <c r="B149">
        <v>4.67</v>
      </c>
    </row>
    <row r="150" spans="2:2" x14ac:dyDescent="0.3">
      <c r="B150">
        <v>5.92</v>
      </c>
    </row>
    <row r="151" spans="2:2" x14ac:dyDescent="0.3">
      <c r="B151">
        <v>1.75</v>
      </c>
    </row>
    <row r="152" spans="2:2" x14ac:dyDescent="0.3">
      <c r="B152">
        <v>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86F29C-4D0A-4A29-B1B6-B5AB58FB2493}">
  <dimension ref="B1:K64"/>
  <sheetViews>
    <sheetView topLeftCell="G7" zoomScale="116" zoomScaleNormal="145" workbookViewId="0">
      <selection activeCell="F12" sqref="F12:I20"/>
    </sheetView>
  </sheetViews>
  <sheetFormatPr defaultRowHeight="14.4" x14ac:dyDescent="0.3"/>
  <cols>
    <col min="6" max="6" width="9.44140625" bestFit="1" customWidth="1"/>
    <col min="7" max="7" width="15.88671875" bestFit="1" customWidth="1"/>
    <col min="8" max="8" width="15.109375" bestFit="1" customWidth="1"/>
    <col min="9" max="9" width="13.6640625" bestFit="1" customWidth="1"/>
    <col min="10" max="10" width="9.6640625" bestFit="1" customWidth="1"/>
    <col min="11" max="11" width="13.6640625" bestFit="1" customWidth="1"/>
  </cols>
  <sheetData>
    <row r="1" spans="2:9" ht="18" x14ac:dyDescent="0.3">
      <c r="B1" s="6" t="s">
        <v>33</v>
      </c>
    </row>
    <row r="2" spans="2:9" x14ac:dyDescent="0.3">
      <c r="B2" s="7"/>
    </row>
    <row r="3" spans="2:9" x14ac:dyDescent="0.3">
      <c r="B3" t="s">
        <v>34</v>
      </c>
      <c r="E3">
        <f>AVERAGE('tips dataset'!$F$2:$F$244)</f>
        <v>19.813868312757211</v>
      </c>
    </row>
    <row r="5" spans="2:9" x14ac:dyDescent="0.3">
      <c r="B5" t="s">
        <v>35</v>
      </c>
      <c r="E5">
        <f>AVERAGE('tips dataset'!G2:G244)</f>
        <v>3.0023868312757189</v>
      </c>
    </row>
    <row r="7" spans="2:9" x14ac:dyDescent="0.3">
      <c r="B7" s="8" t="s">
        <v>36</v>
      </c>
      <c r="C7" s="8"/>
      <c r="D7" s="8"/>
      <c r="E7" s="9">
        <f>SUM('tips dataset'!$G$2:$G$244)/SUM('tips dataset'!F2:F244)</f>
        <v>0.15152956423671315</v>
      </c>
    </row>
    <row r="10" spans="2:9" ht="18" x14ac:dyDescent="0.3">
      <c r="B10" s="6" t="s">
        <v>37</v>
      </c>
    </row>
    <row r="11" spans="2:9" x14ac:dyDescent="0.3">
      <c r="B11" s="7"/>
    </row>
    <row r="12" spans="2:9" x14ac:dyDescent="0.3">
      <c r="B12" s="7" t="s">
        <v>38</v>
      </c>
      <c r="F12" s="4" t="s">
        <v>50</v>
      </c>
      <c r="G12" t="s">
        <v>41</v>
      </c>
      <c r="H12" t="s">
        <v>42</v>
      </c>
      <c r="I12" s="3" t="s">
        <v>32</v>
      </c>
    </row>
    <row r="13" spans="2:9" x14ac:dyDescent="0.3">
      <c r="F13" s="5" t="s">
        <v>7</v>
      </c>
      <c r="G13">
        <v>1557.9499999999998</v>
      </c>
      <c r="H13">
        <v>244.51</v>
      </c>
      <c r="I13">
        <f>SUM(G13:H13)</f>
        <v>1802.4599999999998</v>
      </c>
    </row>
    <row r="14" spans="2:9" x14ac:dyDescent="0.3">
      <c r="F14" s="5" t="s">
        <v>11</v>
      </c>
      <c r="G14">
        <v>3256.8200000000024</v>
      </c>
      <c r="H14">
        <v>485.07000000000011</v>
      </c>
      <c r="I14">
        <f>SUM(G14:H14)</f>
        <v>3741.8900000000026</v>
      </c>
    </row>
    <row r="15" spans="2:9" x14ac:dyDescent="0.3">
      <c r="C15" s="23"/>
      <c r="D15" s="23"/>
      <c r="E15" s="23"/>
    </row>
    <row r="16" spans="2:9" x14ac:dyDescent="0.3">
      <c r="B16" s="7" t="s">
        <v>39</v>
      </c>
    </row>
    <row r="17" spans="2:9" x14ac:dyDescent="0.3">
      <c r="B17" s="23" t="s">
        <v>40</v>
      </c>
    </row>
    <row r="18" spans="2:9" x14ac:dyDescent="0.3">
      <c r="F18" s="4" t="s">
        <v>50</v>
      </c>
      <c r="G18" t="s">
        <v>42</v>
      </c>
      <c r="H18" t="s">
        <v>41</v>
      </c>
      <c r="I18" s="3" t="s">
        <v>414</v>
      </c>
    </row>
    <row r="19" spans="2:9" x14ac:dyDescent="0.3">
      <c r="F19" s="5" t="s">
        <v>7</v>
      </c>
      <c r="G19" s="111">
        <v>244.51</v>
      </c>
      <c r="H19" s="111">
        <v>1557.95</v>
      </c>
      <c r="I19" s="2">
        <f>G19/H19</f>
        <v>0.15694341923681759</v>
      </c>
    </row>
    <row r="20" spans="2:9" x14ac:dyDescent="0.3">
      <c r="F20" s="5" t="s">
        <v>11</v>
      </c>
      <c r="G20" s="111">
        <v>485.07</v>
      </c>
      <c r="H20" s="111">
        <v>3256.82</v>
      </c>
      <c r="I20" s="2">
        <f>G20/H20</f>
        <v>0.14893976332741754</v>
      </c>
    </row>
    <row r="21" spans="2:9" x14ac:dyDescent="0.3">
      <c r="B21" s="36" t="s">
        <v>468</v>
      </c>
    </row>
    <row r="24" spans="2:9" ht="18" x14ac:dyDescent="0.3">
      <c r="B24" s="6" t="s">
        <v>43</v>
      </c>
    </row>
    <row r="26" spans="2:9" x14ac:dyDescent="0.3">
      <c r="B26" s="7" t="s">
        <v>44</v>
      </c>
      <c r="F26" s="4" t="s">
        <v>1</v>
      </c>
      <c r="G26" t="s">
        <v>383</v>
      </c>
      <c r="H26" t="s">
        <v>48</v>
      </c>
      <c r="I26" s="3" t="s">
        <v>470</v>
      </c>
    </row>
    <row r="27" spans="2:9" x14ac:dyDescent="0.3">
      <c r="F27" s="5" t="s">
        <v>8</v>
      </c>
      <c r="G27" s="111">
        <v>2897.43</v>
      </c>
      <c r="H27" s="111">
        <v>151</v>
      </c>
      <c r="I27">
        <f>G27/H27</f>
        <v>19.188278145695364</v>
      </c>
    </row>
    <row r="28" spans="2:9" x14ac:dyDescent="0.3">
      <c r="F28" s="5" t="s">
        <v>22</v>
      </c>
      <c r="G28" s="111">
        <v>1917.34</v>
      </c>
      <c r="H28" s="111">
        <v>92</v>
      </c>
      <c r="I28">
        <f>G28/H28</f>
        <v>20.840652173913043</v>
      </c>
    </row>
    <row r="30" spans="2:9" x14ac:dyDescent="0.3">
      <c r="B30" s="7" t="s">
        <v>45</v>
      </c>
      <c r="F30" s="4" t="s">
        <v>1</v>
      </c>
      <c r="G30" t="s">
        <v>482</v>
      </c>
      <c r="H30" s="3" t="s">
        <v>469</v>
      </c>
      <c r="I30" s="3" t="s">
        <v>70</v>
      </c>
    </row>
    <row r="31" spans="2:9" x14ac:dyDescent="0.3">
      <c r="F31" s="5" t="s">
        <v>8</v>
      </c>
      <c r="G31" s="111">
        <v>451.77</v>
      </c>
      <c r="H31" s="2">
        <f>G31/G27</f>
        <v>0.1559209368302254</v>
      </c>
      <c r="I31">
        <f>G31/H27</f>
        <v>2.9918543046357615</v>
      </c>
    </row>
    <row r="32" spans="2:9" x14ac:dyDescent="0.3">
      <c r="F32" s="5" t="s">
        <v>22</v>
      </c>
      <c r="G32" s="111">
        <v>277.81</v>
      </c>
      <c r="H32" s="2">
        <f>G32/G28</f>
        <v>0.14489344612849053</v>
      </c>
      <c r="I32">
        <f>G32/H28</f>
        <v>3.0196739130434782</v>
      </c>
    </row>
    <row r="34" spans="2:11" x14ac:dyDescent="0.3">
      <c r="B34" s="7" t="s">
        <v>46</v>
      </c>
      <c r="G34" t="s">
        <v>471</v>
      </c>
    </row>
    <row r="35" spans="2:11" x14ac:dyDescent="0.3">
      <c r="G35" t="s">
        <v>472</v>
      </c>
    </row>
    <row r="36" spans="2:11" x14ac:dyDescent="0.3">
      <c r="G36" t="s">
        <v>473</v>
      </c>
    </row>
    <row r="38" spans="2:11" x14ac:dyDescent="0.3">
      <c r="B38" s="7" t="s">
        <v>47</v>
      </c>
      <c r="F38" s="4" t="s">
        <v>49</v>
      </c>
      <c r="G38" t="s">
        <v>48</v>
      </c>
      <c r="H38" t="s">
        <v>56</v>
      </c>
    </row>
    <row r="39" spans="2:11" x14ac:dyDescent="0.3">
      <c r="F39" s="5" t="s">
        <v>8</v>
      </c>
      <c r="G39">
        <v>151</v>
      </c>
      <c r="H39" s="10">
        <v>0.62139917695473246</v>
      </c>
    </row>
    <row r="40" spans="2:11" x14ac:dyDescent="0.3">
      <c r="F40" s="5" t="s">
        <v>22</v>
      </c>
      <c r="G40">
        <v>92</v>
      </c>
      <c r="H40" s="10">
        <v>0.37860082304526749</v>
      </c>
    </row>
    <row r="42" spans="2:11" ht="18" x14ac:dyDescent="0.3">
      <c r="B42" s="6" t="s">
        <v>51</v>
      </c>
    </row>
    <row r="43" spans="2:11" x14ac:dyDescent="0.3">
      <c r="B43" s="7"/>
    </row>
    <row r="44" spans="2:11" x14ac:dyDescent="0.3">
      <c r="B44" s="7" t="s">
        <v>52</v>
      </c>
      <c r="H44" s="4" t="s">
        <v>67</v>
      </c>
      <c r="I44" t="s">
        <v>41</v>
      </c>
      <c r="J44" t="s">
        <v>42</v>
      </c>
      <c r="K44" t="s">
        <v>57</v>
      </c>
    </row>
    <row r="45" spans="2:11" x14ac:dyDescent="0.3">
      <c r="C45" t="s">
        <v>58</v>
      </c>
      <c r="H45" s="5" t="s">
        <v>10</v>
      </c>
      <c r="I45">
        <v>3660.3</v>
      </c>
      <c r="J45">
        <v>546.07000000000005</v>
      </c>
      <c r="K45" s="11">
        <v>2.6306818181818183</v>
      </c>
    </row>
    <row r="46" spans="2:11" x14ac:dyDescent="0.3">
      <c r="C46" t="s">
        <v>59</v>
      </c>
      <c r="H46" s="5" t="s">
        <v>24</v>
      </c>
      <c r="I46">
        <v>1154.47</v>
      </c>
      <c r="J46">
        <v>183.51</v>
      </c>
      <c r="K46" s="11">
        <v>2.4179104477611939</v>
      </c>
    </row>
    <row r="48" spans="2:11" x14ac:dyDescent="0.3">
      <c r="B48" s="7" t="s">
        <v>53</v>
      </c>
    </row>
    <row r="49" spans="2:7" x14ac:dyDescent="0.3">
      <c r="C49" t="s">
        <v>60</v>
      </c>
    </row>
    <row r="51" spans="2:7" x14ac:dyDescent="0.3">
      <c r="B51" s="7" t="s">
        <v>54</v>
      </c>
    </row>
    <row r="52" spans="2:7" x14ac:dyDescent="0.3">
      <c r="C52" t="s">
        <v>61</v>
      </c>
      <c r="E52" t="s">
        <v>62</v>
      </c>
      <c r="F52">
        <v>2.42</v>
      </c>
    </row>
    <row r="53" spans="2:7" x14ac:dyDescent="0.3">
      <c r="E53" t="s">
        <v>10</v>
      </c>
      <c r="F53">
        <v>2.63</v>
      </c>
    </row>
    <row r="55" spans="2:7" ht="18" x14ac:dyDescent="0.3">
      <c r="B55" s="6" t="s">
        <v>55</v>
      </c>
    </row>
    <row r="57" spans="2:7" x14ac:dyDescent="0.3">
      <c r="B57" t="s">
        <v>63</v>
      </c>
      <c r="F57" s="4" t="s">
        <v>66</v>
      </c>
      <c r="G57" t="s">
        <v>41</v>
      </c>
    </row>
    <row r="58" spans="2:7" x14ac:dyDescent="0.3">
      <c r="F58" s="5" t="s">
        <v>21</v>
      </c>
      <c r="G58">
        <v>1778.4</v>
      </c>
    </row>
    <row r="60" spans="2:7" x14ac:dyDescent="0.3">
      <c r="B60" t="s">
        <v>64</v>
      </c>
      <c r="F60" s="4" t="s">
        <v>66</v>
      </c>
      <c r="G60" t="s">
        <v>42</v>
      </c>
    </row>
    <row r="61" spans="2:7" x14ac:dyDescent="0.3">
      <c r="F61" s="5" t="s">
        <v>21</v>
      </c>
      <c r="G61">
        <v>260.39999999999998</v>
      </c>
    </row>
    <row r="63" spans="2:7" x14ac:dyDescent="0.3">
      <c r="B63" t="s">
        <v>65</v>
      </c>
      <c r="F63" s="4" t="s">
        <v>66</v>
      </c>
      <c r="G63" t="s">
        <v>68</v>
      </c>
    </row>
    <row r="64" spans="2:7" x14ac:dyDescent="0.3">
      <c r="F64" s="5" t="s">
        <v>9</v>
      </c>
      <c r="G64">
        <v>21.41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C2D311-5AA7-47CF-B09A-DE36DE65D371}">
  <dimension ref="A1:E39"/>
  <sheetViews>
    <sheetView topLeftCell="A27" zoomScale="91" workbookViewId="0">
      <selection activeCell="A38" sqref="A38:A39"/>
    </sheetView>
  </sheetViews>
  <sheetFormatPr defaultRowHeight="14.4" x14ac:dyDescent="0.3"/>
  <cols>
    <col min="1" max="1" width="48.109375" customWidth="1"/>
    <col min="2" max="2" width="12.88671875" bestFit="1" customWidth="1"/>
    <col min="3" max="3" width="16" bestFit="1" customWidth="1"/>
  </cols>
  <sheetData>
    <row r="1" spans="1:5" ht="23.4" x14ac:dyDescent="0.3">
      <c r="A1" s="15" t="s">
        <v>73</v>
      </c>
    </row>
    <row r="3" spans="1:5" ht="18" x14ac:dyDescent="0.35">
      <c r="A3" s="14" t="s">
        <v>74</v>
      </c>
      <c r="B3" s="14"/>
      <c r="C3" s="14"/>
      <c r="D3" s="14"/>
      <c r="E3" s="14"/>
    </row>
    <row r="5" spans="1:5" ht="21" x14ac:dyDescent="0.3">
      <c r="A5" s="20" t="s">
        <v>96</v>
      </c>
    </row>
    <row r="7" spans="1:5" ht="18" x14ac:dyDescent="0.35">
      <c r="A7" s="14" t="s">
        <v>97</v>
      </c>
    </row>
    <row r="9" spans="1:5" ht="21" x14ac:dyDescent="0.3">
      <c r="A9" s="20" t="s">
        <v>98</v>
      </c>
    </row>
    <row r="11" spans="1:5" ht="18.600000000000001" thickBot="1" x14ac:dyDescent="0.4">
      <c r="A11" s="14" t="s">
        <v>99</v>
      </c>
    </row>
    <row r="12" spans="1:5" x14ac:dyDescent="0.3">
      <c r="A12" s="17"/>
      <c r="B12" s="17" t="s">
        <v>87</v>
      </c>
      <c r="C12" s="17" t="s">
        <v>86</v>
      </c>
    </row>
    <row r="13" spans="1:5" x14ac:dyDescent="0.3">
      <c r="A13" t="s">
        <v>76</v>
      </c>
      <c r="B13">
        <v>2.9918543046357624</v>
      </c>
      <c r="C13">
        <v>3.0196739130434782</v>
      </c>
    </row>
    <row r="14" spans="1:5" x14ac:dyDescent="0.3">
      <c r="A14" t="s">
        <v>77</v>
      </c>
      <c r="B14">
        <v>1.8966525386313424</v>
      </c>
      <c r="C14">
        <v>1.9743922001911174</v>
      </c>
    </row>
    <row r="15" spans="1:5" x14ac:dyDescent="0.3">
      <c r="A15" t="s">
        <v>78</v>
      </c>
      <c r="B15">
        <v>151</v>
      </c>
      <c r="C15">
        <v>92</v>
      </c>
    </row>
    <row r="16" spans="1:5" x14ac:dyDescent="0.3">
      <c r="A16" t="s">
        <v>79</v>
      </c>
      <c r="B16">
        <v>0</v>
      </c>
    </row>
    <row r="17" spans="1:3" x14ac:dyDescent="0.3">
      <c r="A17" t="s">
        <v>80</v>
      </c>
      <c r="B17">
        <v>189</v>
      </c>
    </row>
    <row r="18" spans="1:3" x14ac:dyDescent="0.3">
      <c r="A18" t="s">
        <v>81</v>
      </c>
      <c r="B18">
        <v>-0.15082555675204298</v>
      </c>
    </row>
    <row r="19" spans="1:3" x14ac:dyDescent="0.3">
      <c r="A19" t="s">
        <v>82</v>
      </c>
      <c r="B19">
        <v>0.4401370891242869</v>
      </c>
    </row>
    <row r="20" spans="1:3" x14ac:dyDescent="0.3">
      <c r="A20" t="s">
        <v>83</v>
      </c>
      <c r="B20">
        <v>1.6529558017258421</v>
      </c>
    </row>
    <row r="21" spans="1:3" x14ac:dyDescent="0.3">
      <c r="A21" t="s">
        <v>84</v>
      </c>
      <c r="B21">
        <v>0.88027417824857379</v>
      </c>
    </row>
    <row r="22" spans="1:3" ht="15" thickBot="1" x14ac:dyDescent="0.35">
      <c r="A22" s="16" t="s">
        <v>85</v>
      </c>
      <c r="B22" s="16">
        <v>1.9725950790996611</v>
      </c>
      <c r="C22" s="16"/>
    </row>
    <row r="24" spans="1:3" ht="23.4" x14ac:dyDescent="0.3">
      <c r="A24" s="15" t="s">
        <v>88</v>
      </c>
    </row>
    <row r="26" spans="1:3" ht="18" x14ac:dyDescent="0.35">
      <c r="A26" s="14" t="s">
        <v>89</v>
      </c>
    </row>
    <row r="27" spans="1:3" ht="18" x14ac:dyDescent="0.3">
      <c r="A27" s="18"/>
    </row>
    <row r="28" spans="1:3" ht="18" x14ac:dyDescent="0.3">
      <c r="A28" s="18" t="s">
        <v>90</v>
      </c>
    </row>
    <row r="29" spans="1:3" ht="18" x14ac:dyDescent="0.3">
      <c r="A29" s="18" t="s">
        <v>91</v>
      </c>
    </row>
    <row r="30" spans="1:3" ht="18" x14ac:dyDescent="0.3">
      <c r="A30" s="18" t="s">
        <v>92</v>
      </c>
    </row>
    <row r="31" spans="1:3" ht="18" x14ac:dyDescent="0.3">
      <c r="A31" s="18" t="s">
        <v>93</v>
      </c>
    </row>
    <row r="32" spans="1:3" ht="18" x14ac:dyDescent="0.35">
      <c r="A32" s="14"/>
    </row>
    <row r="33" spans="1:1" ht="18" x14ac:dyDescent="0.35">
      <c r="A33" s="14" t="s">
        <v>94</v>
      </c>
    </row>
    <row r="34" spans="1:1" ht="18" x14ac:dyDescent="0.35">
      <c r="A34" s="14"/>
    </row>
    <row r="35" spans="1:1" ht="18" x14ac:dyDescent="0.35">
      <c r="A35" s="19" t="s">
        <v>95</v>
      </c>
    </row>
    <row r="37" spans="1:1" ht="18" x14ac:dyDescent="0.35">
      <c r="A37" s="19" t="s">
        <v>419</v>
      </c>
    </row>
    <row r="38" spans="1:1" ht="18" x14ac:dyDescent="0.3">
      <c r="A38" s="18" t="s">
        <v>420</v>
      </c>
    </row>
    <row r="39" spans="1:1" ht="18" x14ac:dyDescent="0.3">
      <c r="A39" s="18" t="s">
        <v>421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16390A-DF6B-4C98-8437-0DC7254A85E3}">
  <dimension ref="A1:C46"/>
  <sheetViews>
    <sheetView topLeftCell="A24" workbookViewId="0">
      <selection activeCell="M88" sqref="M88:M158"/>
    </sheetView>
  </sheetViews>
  <sheetFormatPr defaultRowHeight="14.4" x14ac:dyDescent="0.3"/>
  <cols>
    <col min="1" max="1" width="41.21875" bestFit="1" customWidth="1"/>
    <col min="2" max="2" width="12.21875" bestFit="1" customWidth="1"/>
    <col min="3" max="3" width="12" bestFit="1" customWidth="1"/>
    <col min="12" max="12" width="11.5546875" bestFit="1" customWidth="1"/>
  </cols>
  <sheetData>
    <row r="1" spans="1:1" ht="18" x14ac:dyDescent="0.3">
      <c r="A1" s="6" t="s">
        <v>100</v>
      </c>
    </row>
    <row r="3" spans="1:1" ht="15.6" x14ac:dyDescent="0.3">
      <c r="A3" s="13" t="s">
        <v>73</v>
      </c>
    </row>
    <row r="5" spans="1:1" x14ac:dyDescent="0.3">
      <c r="A5" t="s">
        <v>101</v>
      </c>
    </row>
    <row r="7" spans="1:1" ht="18" x14ac:dyDescent="0.3">
      <c r="A7" s="6" t="s">
        <v>96</v>
      </c>
    </row>
    <row r="9" spans="1:1" x14ac:dyDescent="0.3">
      <c r="A9" t="s">
        <v>97</v>
      </c>
    </row>
    <row r="11" spans="1:1" ht="18" x14ac:dyDescent="0.3">
      <c r="A11" s="6" t="s">
        <v>98</v>
      </c>
    </row>
    <row r="13" spans="1:1" x14ac:dyDescent="0.3">
      <c r="A13" t="s">
        <v>99</v>
      </c>
    </row>
    <row r="15" spans="1:1" x14ac:dyDescent="0.3">
      <c r="A15" t="s">
        <v>75</v>
      </c>
    </row>
    <row r="16" spans="1:1" ht="15" thickBot="1" x14ac:dyDescent="0.35"/>
    <row r="17" spans="1:3" x14ac:dyDescent="0.3">
      <c r="A17" s="17"/>
      <c r="B17" s="17" t="s">
        <v>102</v>
      </c>
      <c r="C17" s="17" t="s">
        <v>103</v>
      </c>
    </row>
    <row r="18" spans="1:3" x14ac:dyDescent="0.3">
      <c r="A18" t="s">
        <v>76</v>
      </c>
      <c r="B18">
        <v>2.8431395348837207</v>
      </c>
      <c r="C18">
        <v>3.0896178343949052</v>
      </c>
    </row>
    <row r="19" spans="1:3" x14ac:dyDescent="0.3">
      <c r="A19" t="s">
        <v>77</v>
      </c>
      <c r="B19">
        <v>1.3519770861833127</v>
      </c>
      <c r="C19">
        <v>2.2174242119875784</v>
      </c>
    </row>
    <row r="20" spans="1:3" x14ac:dyDescent="0.3">
      <c r="A20" t="s">
        <v>78</v>
      </c>
      <c r="B20">
        <v>86</v>
      </c>
      <c r="C20">
        <v>157</v>
      </c>
    </row>
    <row r="21" spans="1:3" x14ac:dyDescent="0.3">
      <c r="A21" t="s">
        <v>79</v>
      </c>
      <c r="B21">
        <v>0</v>
      </c>
    </row>
    <row r="22" spans="1:3" x14ac:dyDescent="0.3">
      <c r="A22" t="s">
        <v>80</v>
      </c>
      <c r="B22">
        <v>213</v>
      </c>
    </row>
    <row r="23" spans="1:3" x14ac:dyDescent="0.3">
      <c r="A23" t="s">
        <v>81</v>
      </c>
      <c r="B23">
        <v>-1.4267483301971122</v>
      </c>
    </row>
    <row r="24" spans="1:3" x14ac:dyDescent="0.3">
      <c r="A24" t="s">
        <v>82</v>
      </c>
      <c r="B24">
        <v>7.7558312166700644E-2</v>
      </c>
    </row>
    <row r="25" spans="1:3" x14ac:dyDescent="0.3">
      <c r="A25" t="s">
        <v>83</v>
      </c>
      <c r="B25">
        <v>1.6520388780266499</v>
      </c>
    </row>
    <row r="26" spans="1:3" x14ac:dyDescent="0.3">
      <c r="A26" t="s">
        <v>84</v>
      </c>
      <c r="B26">
        <v>0.15511662433340129</v>
      </c>
    </row>
    <row r="27" spans="1:3" ht="15" thickBot="1" x14ac:dyDescent="0.35">
      <c r="A27" s="16" t="s">
        <v>85</v>
      </c>
      <c r="B27" s="16">
        <v>1.9711638854652522</v>
      </c>
      <c r="C27" s="16"/>
    </row>
    <row r="29" spans="1:3" ht="23.4" x14ac:dyDescent="0.3">
      <c r="A29" s="15" t="s">
        <v>104</v>
      </c>
    </row>
    <row r="31" spans="1:3" ht="18" x14ac:dyDescent="0.35">
      <c r="A31" s="14" t="s">
        <v>110</v>
      </c>
    </row>
    <row r="32" spans="1:3" ht="18" x14ac:dyDescent="0.3">
      <c r="A32" s="18"/>
    </row>
    <row r="33" spans="1:1" ht="18" x14ac:dyDescent="0.3">
      <c r="A33" s="18" t="s">
        <v>105</v>
      </c>
    </row>
    <row r="34" spans="1:1" ht="18" x14ac:dyDescent="0.3">
      <c r="A34" s="18" t="s">
        <v>106</v>
      </c>
    </row>
    <row r="35" spans="1:1" ht="18" x14ac:dyDescent="0.3">
      <c r="A35" s="18" t="s">
        <v>107</v>
      </c>
    </row>
    <row r="36" spans="1:1" ht="18" x14ac:dyDescent="0.3">
      <c r="A36" s="18" t="s">
        <v>108</v>
      </c>
    </row>
    <row r="37" spans="1:1" ht="18" x14ac:dyDescent="0.35">
      <c r="A37" s="14"/>
    </row>
    <row r="38" spans="1:1" ht="18" x14ac:dyDescent="0.35">
      <c r="A38" s="14" t="s">
        <v>109</v>
      </c>
    </row>
    <row r="39" spans="1:1" ht="18" x14ac:dyDescent="0.35">
      <c r="A39" s="14"/>
    </row>
    <row r="40" spans="1:1" ht="18" x14ac:dyDescent="0.35">
      <c r="A40" s="19" t="s">
        <v>115</v>
      </c>
    </row>
    <row r="41" spans="1:1" ht="18" x14ac:dyDescent="0.35">
      <c r="A41" s="14" t="s">
        <v>116</v>
      </c>
    </row>
    <row r="43" spans="1:1" ht="23.4" x14ac:dyDescent="0.45">
      <c r="A43" s="21" t="s">
        <v>111</v>
      </c>
    </row>
    <row r="44" spans="1:1" ht="18" x14ac:dyDescent="0.35">
      <c r="A44" s="14" t="s">
        <v>112</v>
      </c>
    </row>
    <row r="45" spans="1:1" ht="18" x14ac:dyDescent="0.35">
      <c r="A45" s="14" t="s">
        <v>113</v>
      </c>
    </row>
    <row r="46" spans="1:1" ht="18" x14ac:dyDescent="0.35">
      <c r="A46" s="14" t="s">
        <v>114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79CB70-2136-4C29-8DC0-E6575D3BCA3A}">
  <dimension ref="A1:C48"/>
  <sheetViews>
    <sheetView topLeftCell="A32" workbookViewId="0">
      <selection activeCell="A48" sqref="A48"/>
    </sheetView>
  </sheetViews>
  <sheetFormatPr defaultRowHeight="14.4" x14ac:dyDescent="0.3"/>
  <cols>
    <col min="1" max="1" width="47.6640625" bestFit="1" customWidth="1"/>
    <col min="2" max="3" width="12" bestFit="1" customWidth="1"/>
  </cols>
  <sheetData>
    <row r="1" spans="1:2" ht="25.8" x14ac:dyDescent="0.3">
      <c r="A1" s="22" t="s">
        <v>117</v>
      </c>
    </row>
    <row r="3" spans="1:2" ht="21" x14ac:dyDescent="0.3">
      <c r="A3" s="20" t="s">
        <v>73</v>
      </c>
    </row>
    <row r="5" spans="1:2" ht="18" x14ac:dyDescent="0.35">
      <c r="A5" s="14" t="s">
        <v>118</v>
      </c>
    </row>
    <row r="7" spans="1:2" ht="21" x14ac:dyDescent="0.3">
      <c r="A7" s="20" t="s">
        <v>96</v>
      </c>
    </row>
    <row r="9" spans="1:2" ht="18" x14ac:dyDescent="0.35">
      <c r="A9" s="14" t="s">
        <v>97</v>
      </c>
    </row>
    <row r="11" spans="1:2" ht="21" x14ac:dyDescent="0.3">
      <c r="A11" s="20" t="s">
        <v>98</v>
      </c>
      <c r="B11" s="20"/>
    </row>
    <row r="13" spans="1:2" ht="18" x14ac:dyDescent="0.35">
      <c r="A13" s="14" t="s">
        <v>99</v>
      </c>
      <c r="B13" s="14"/>
    </row>
    <row r="15" spans="1:2" x14ac:dyDescent="0.3">
      <c r="A15" t="s">
        <v>75</v>
      </c>
    </row>
    <row r="16" spans="1:2" ht="15" thickBot="1" x14ac:dyDescent="0.35"/>
    <row r="17" spans="1:3" x14ac:dyDescent="0.3">
      <c r="A17" s="17"/>
      <c r="B17" s="17" t="s">
        <v>119</v>
      </c>
      <c r="C17" s="17" t="s">
        <v>120</v>
      </c>
    </row>
    <row r="18" spans="1:3" x14ac:dyDescent="0.3">
      <c r="A18" t="s">
        <v>76</v>
      </c>
      <c r="B18">
        <v>2.738955223880597</v>
      </c>
      <c r="C18">
        <v>3.102670454545454</v>
      </c>
    </row>
    <row r="19" spans="1:3" x14ac:dyDescent="0.3">
      <c r="A19" t="s">
        <v>77</v>
      </c>
      <c r="B19">
        <v>1.4667185888738183</v>
      </c>
      <c r="C19">
        <v>2.0627933993506473</v>
      </c>
    </row>
    <row r="20" spans="1:3" x14ac:dyDescent="0.3">
      <c r="A20" t="s">
        <v>78</v>
      </c>
      <c r="B20">
        <v>67</v>
      </c>
      <c r="C20">
        <v>176</v>
      </c>
    </row>
    <row r="21" spans="1:3" x14ac:dyDescent="0.3">
      <c r="A21" t="s">
        <v>79</v>
      </c>
      <c r="B21">
        <v>0</v>
      </c>
    </row>
    <row r="22" spans="1:3" x14ac:dyDescent="0.3">
      <c r="A22" t="s">
        <v>80</v>
      </c>
      <c r="B22">
        <v>140</v>
      </c>
    </row>
    <row r="23" spans="1:3" x14ac:dyDescent="0.3">
      <c r="A23" t="s">
        <v>81</v>
      </c>
      <c r="B23">
        <v>-1.9838827200259781</v>
      </c>
    </row>
    <row r="24" spans="1:3" x14ac:dyDescent="0.3">
      <c r="A24" t="s">
        <v>82</v>
      </c>
      <c r="B24">
        <v>2.4612296340637226E-2</v>
      </c>
    </row>
    <row r="25" spans="1:3" x14ac:dyDescent="0.3">
      <c r="A25" t="s">
        <v>83</v>
      </c>
      <c r="B25">
        <v>1.6558105109968806</v>
      </c>
    </row>
    <row r="26" spans="1:3" x14ac:dyDescent="0.3">
      <c r="A26" t="s">
        <v>84</v>
      </c>
      <c r="B26">
        <v>4.9224592681274451E-2</v>
      </c>
    </row>
    <row r="27" spans="1:3" ht="15" thickBot="1" x14ac:dyDescent="0.35">
      <c r="A27" s="16" t="s">
        <v>85</v>
      </c>
      <c r="B27" s="16">
        <v>1.9770537196571039</v>
      </c>
      <c r="C27" s="16"/>
    </row>
    <row r="29" spans="1:3" ht="23.4" x14ac:dyDescent="0.3">
      <c r="A29" s="15" t="s">
        <v>121</v>
      </c>
    </row>
    <row r="31" spans="1:3" ht="18" x14ac:dyDescent="0.35">
      <c r="A31" s="14" t="s">
        <v>122</v>
      </c>
    </row>
    <row r="32" spans="1:3" ht="18" x14ac:dyDescent="0.3">
      <c r="A32" s="18"/>
    </row>
    <row r="33" spans="1:1" ht="18" x14ac:dyDescent="0.3">
      <c r="A33" s="18" t="s">
        <v>123</v>
      </c>
    </row>
    <row r="34" spans="1:1" ht="18" x14ac:dyDescent="0.3">
      <c r="A34" s="18" t="s">
        <v>124</v>
      </c>
    </row>
    <row r="35" spans="1:1" ht="18" x14ac:dyDescent="0.3">
      <c r="A35" s="18" t="s">
        <v>125</v>
      </c>
    </row>
    <row r="36" spans="1:1" ht="18" x14ac:dyDescent="0.3">
      <c r="A36" s="18" t="s">
        <v>126</v>
      </c>
    </row>
    <row r="37" spans="1:1" ht="18" x14ac:dyDescent="0.35">
      <c r="A37" s="14"/>
    </row>
    <row r="38" spans="1:1" ht="18" x14ac:dyDescent="0.35">
      <c r="A38" s="14" t="s">
        <v>129</v>
      </c>
    </row>
    <row r="39" spans="1:1" ht="18" x14ac:dyDescent="0.35">
      <c r="A39" s="14"/>
    </row>
    <row r="40" spans="1:1" ht="18" x14ac:dyDescent="0.35">
      <c r="A40" s="14" t="s">
        <v>130</v>
      </c>
    </row>
    <row r="43" spans="1:1" ht="18" x14ac:dyDescent="0.35">
      <c r="A43" s="19" t="s">
        <v>128</v>
      </c>
    </row>
    <row r="44" spans="1:1" ht="18" x14ac:dyDescent="0.35">
      <c r="A44" s="14" t="s">
        <v>127</v>
      </c>
    </row>
    <row r="45" spans="1:1" ht="18" x14ac:dyDescent="0.35">
      <c r="A45" s="14" t="s">
        <v>131</v>
      </c>
    </row>
    <row r="47" spans="1:1" ht="18" x14ac:dyDescent="0.35">
      <c r="A47" s="19" t="s">
        <v>422</v>
      </c>
    </row>
    <row r="48" spans="1:1" ht="18" x14ac:dyDescent="0.35">
      <c r="A48" s="14" t="s">
        <v>423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319E7E-006F-4E59-9DD0-D399F88A68B4}">
  <dimension ref="A1:Q49"/>
  <sheetViews>
    <sheetView topLeftCell="A18" zoomScale="137" workbookViewId="0">
      <selection activeCell="A33" sqref="A33"/>
    </sheetView>
  </sheetViews>
  <sheetFormatPr defaultRowHeight="14.4" x14ac:dyDescent="0.3"/>
  <cols>
    <col min="1" max="1" width="20.6640625" customWidth="1"/>
    <col min="3" max="3" width="11.77734375" customWidth="1"/>
    <col min="4" max="4" width="12.44140625" customWidth="1"/>
    <col min="5" max="5" width="10.88671875" customWidth="1"/>
    <col min="6" max="6" width="12.88671875" bestFit="1" customWidth="1"/>
    <col min="7" max="7" width="13.21875" bestFit="1" customWidth="1"/>
    <col min="8" max="9" width="9.88671875" customWidth="1"/>
    <col min="10" max="10" width="10.44140625" customWidth="1"/>
    <col min="14" max="14" width="11.44140625" customWidth="1"/>
    <col min="15" max="15" width="12.6640625" customWidth="1"/>
    <col min="16" max="16" width="12.33203125" customWidth="1"/>
  </cols>
  <sheetData>
    <row r="1" spans="1:17" ht="23.4" x14ac:dyDescent="0.45">
      <c r="A1" s="21" t="s">
        <v>132</v>
      </c>
    </row>
    <row r="3" spans="1:17" ht="15" thickBot="1" x14ac:dyDescent="0.35"/>
    <row r="4" spans="1:17" x14ac:dyDescent="0.3">
      <c r="A4" s="42"/>
      <c r="B4" s="17" t="s">
        <v>11</v>
      </c>
      <c r="C4" s="17" t="s">
        <v>7</v>
      </c>
      <c r="D4" s="17" t="s">
        <v>405</v>
      </c>
      <c r="E4" s="17" t="s">
        <v>406</v>
      </c>
      <c r="F4" s="17" t="s">
        <v>21</v>
      </c>
      <c r="G4" s="17" t="s">
        <v>326</v>
      </c>
      <c r="H4" s="17" t="s">
        <v>9</v>
      </c>
      <c r="I4" s="17" t="s">
        <v>24</v>
      </c>
      <c r="J4" s="17" t="s">
        <v>10</v>
      </c>
      <c r="K4" s="17" t="s">
        <v>4</v>
      </c>
      <c r="L4" s="17" t="s">
        <v>5</v>
      </c>
      <c r="M4" s="17" t="s">
        <v>6</v>
      </c>
      <c r="N4" s="17" t="s">
        <v>71</v>
      </c>
      <c r="O4" s="17" t="s">
        <v>69</v>
      </c>
      <c r="P4" s="17" t="s">
        <v>70</v>
      </c>
      <c r="Q4" s="17" t="s">
        <v>327</v>
      </c>
    </row>
    <row r="5" spans="1:17" x14ac:dyDescent="0.3">
      <c r="A5" s="43" t="s">
        <v>11</v>
      </c>
      <c r="B5">
        <v>1</v>
      </c>
    </row>
    <row r="6" spans="1:17" x14ac:dyDescent="0.3">
      <c r="A6" s="43" t="s">
        <v>7</v>
      </c>
      <c r="B6">
        <v>-0.99999999999999944</v>
      </c>
      <c r="C6">
        <v>1</v>
      </c>
    </row>
    <row r="7" spans="1:17" x14ac:dyDescent="0.3">
      <c r="A7" s="43" t="s">
        <v>405</v>
      </c>
      <c r="B7">
        <v>9.9301879660361435E-3</v>
      </c>
      <c r="C7">
        <v>-9.9301879660362406E-3</v>
      </c>
      <c r="D7">
        <v>1</v>
      </c>
    </row>
    <row r="8" spans="1:17" x14ac:dyDescent="0.3">
      <c r="A8" s="43" t="s">
        <v>406</v>
      </c>
      <c r="B8">
        <v>-9.9301879660362233E-3</v>
      </c>
      <c r="C8">
        <v>9.9301879660362996E-3</v>
      </c>
      <c r="D8">
        <v>-1</v>
      </c>
      <c r="E8">
        <v>1</v>
      </c>
    </row>
    <row r="9" spans="1:17" x14ac:dyDescent="0.3">
      <c r="A9" s="43" t="s">
        <v>21</v>
      </c>
      <c r="B9">
        <v>5.0085119758678985E-2</v>
      </c>
      <c r="C9">
        <v>-5.0085119758678985E-2</v>
      </c>
      <c r="D9">
        <v>0.16036626035312079</v>
      </c>
      <c r="E9">
        <v>-0.16036626035312079</v>
      </c>
      <c r="F9">
        <v>1</v>
      </c>
    </row>
    <row r="10" spans="1:17" x14ac:dyDescent="0.3">
      <c r="A10" s="43" t="s">
        <v>326</v>
      </c>
      <c r="B10">
        <v>-7.2949995566393325E-2</v>
      </c>
      <c r="C10">
        <v>7.2949995566393352E-2</v>
      </c>
      <c r="D10">
        <v>0.24670851202192395</v>
      </c>
      <c r="E10">
        <v>-0.24670851202192395</v>
      </c>
      <c r="F10">
        <v>-0.21749542119722465</v>
      </c>
      <c r="G10">
        <v>1</v>
      </c>
    </row>
    <row r="11" spans="1:17" x14ac:dyDescent="0.3">
      <c r="A11" s="43" t="s">
        <v>9</v>
      </c>
      <c r="B11">
        <v>0.16515495427572505</v>
      </c>
      <c r="C11">
        <v>-0.16515495427572496</v>
      </c>
      <c r="D11">
        <v>-0.17886122255687056</v>
      </c>
      <c r="E11">
        <v>0.17886122255687065</v>
      </c>
      <c r="F11">
        <v>-0.50378576014358045</v>
      </c>
      <c r="G11">
        <v>-0.19647231024037187</v>
      </c>
      <c r="H11">
        <v>1</v>
      </c>
    </row>
    <row r="12" spans="1:17" x14ac:dyDescent="0.3">
      <c r="A12" s="43" t="s">
        <v>24</v>
      </c>
      <c r="B12">
        <v>-0.19812862318292884</v>
      </c>
      <c r="C12">
        <v>0.19812862318292876</v>
      </c>
      <c r="D12">
        <v>-6.391123077632449E-2</v>
      </c>
      <c r="E12">
        <v>6.3911230776324573E-2</v>
      </c>
      <c r="F12">
        <v>-0.46076384588889058</v>
      </c>
      <c r="G12">
        <v>6.04156182515692E-2</v>
      </c>
      <c r="H12">
        <v>-0.41622640503746033</v>
      </c>
      <c r="I12">
        <v>1</v>
      </c>
    </row>
    <row r="13" spans="1:17" x14ac:dyDescent="0.3">
      <c r="A13" s="43" t="s">
        <v>10</v>
      </c>
      <c r="B13">
        <v>0.19812862318292884</v>
      </c>
      <c r="C13">
        <v>-0.19812862318292876</v>
      </c>
      <c r="D13">
        <v>6.3911230776324615E-2</v>
      </c>
      <c r="E13">
        <v>-6.3911230776324573E-2</v>
      </c>
      <c r="F13">
        <v>0.46076384588889058</v>
      </c>
      <c r="G13">
        <v>-6.0415618251569221E-2</v>
      </c>
      <c r="H13">
        <v>0.41622640503746033</v>
      </c>
      <c r="I13">
        <v>-1.0000000000000002</v>
      </c>
      <c r="J13">
        <v>1</v>
      </c>
    </row>
    <row r="14" spans="1:17" x14ac:dyDescent="0.3">
      <c r="A14" s="43" t="s">
        <v>4</v>
      </c>
      <c r="B14">
        <v>8.3248016742296663E-2</v>
      </c>
      <c r="C14">
        <v>-8.3248016742296704E-2</v>
      </c>
      <c r="D14">
        <v>-0.13056441135746841</v>
      </c>
      <c r="E14">
        <v>0.13056441135746841</v>
      </c>
      <c r="F14">
        <v>-4.3040411299114824E-2</v>
      </c>
      <c r="G14">
        <v>-0.14303299871166478</v>
      </c>
      <c r="H14">
        <v>0.19171283613071691</v>
      </c>
      <c r="I14">
        <v>-0.10004530325852382</v>
      </c>
      <c r="J14">
        <v>0.10004530325852382</v>
      </c>
      <c r="K14">
        <v>1</v>
      </c>
    </row>
    <row r="15" spans="1:17" x14ac:dyDescent="0.3">
      <c r="A15" s="43" t="s">
        <v>5</v>
      </c>
      <c r="B15">
        <v>3.3500432178364868E-2</v>
      </c>
      <c r="C15">
        <v>-3.3500432178364868E-2</v>
      </c>
      <c r="D15">
        <v>-5.9918798317100334E-2</v>
      </c>
      <c r="E15">
        <v>5.9918798317100334E-2</v>
      </c>
      <c r="F15">
        <v>3.488311330714818E-3</v>
      </c>
      <c r="G15">
        <v>-9.2010873745807215E-2</v>
      </c>
      <c r="H15">
        <v>5.3373665257546124E-2</v>
      </c>
      <c r="I15">
        <v>-3.0551353981300929E-2</v>
      </c>
      <c r="J15">
        <v>3.0551353981300908E-2</v>
      </c>
      <c r="K15">
        <v>0.10717881106750933</v>
      </c>
      <c r="L15">
        <v>1</v>
      </c>
    </row>
    <row r="16" spans="1:17" x14ac:dyDescent="0.3">
      <c r="A16" s="43" t="s">
        <v>6</v>
      </c>
      <c r="B16">
        <v>6.570653243263681E-3</v>
      </c>
      <c r="C16">
        <v>-6.5706532432636532E-3</v>
      </c>
      <c r="D16">
        <v>-3.5600806173922687E-2</v>
      </c>
      <c r="E16">
        <v>3.5600806173922701E-2</v>
      </c>
      <c r="F16">
        <v>-3.8987062448276849E-2</v>
      </c>
      <c r="G16">
        <v>-3.4217528702263286E-2</v>
      </c>
      <c r="H16">
        <v>3.9551418647388675E-2</v>
      </c>
      <c r="I16">
        <v>2.3386681778835242E-2</v>
      </c>
      <c r="J16">
        <v>-2.3386681778835249E-2</v>
      </c>
      <c r="K16">
        <v>-2.8984087152460203E-2</v>
      </c>
      <c r="L16">
        <v>0.6749978565456074</v>
      </c>
      <c r="M16">
        <v>1</v>
      </c>
    </row>
    <row r="17" spans="1:17" x14ac:dyDescent="0.3">
      <c r="A17" s="43" t="s">
        <v>71</v>
      </c>
      <c r="B17">
        <v>-1.3580449164817423E-2</v>
      </c>
      <c r="C17">
        <v>1.3580449164817446E-2</v>
      </c>
      <c r="D17">
        <v>-4.9712874682429509E-3</v>
      </c>
      <c r="E17">
        <v>4.9712874682429639E-3</v>
      </c>
      <c r="F17">
        <v>-6.9394963105376309E-2</v>
      </c>
      <c r="G17">
        <v>6.9625816992456138E-2</v>
      </c>
      <c r="H17">
        <v>-1.1802901149563725E-2</v>
      </c>
      <c r="I17">
        <v>7.5337505268534291E-2</v>
      </c>
      <c r="J17">
        <v>-7.5337505268534305E-2</v>
      </c>
      <c r="K17">
        <v>-0.14945914984462377</v>
      </c>
      <c r="L17">
        <v>-0.33939963219674918</v>
      </c>
      <c r="M17">
        <v>0.34240765998541922</v>
      </c>
      <c r="N17">
        <v>1</v>
      </c>
    </row>
    <row r="18" spans="1:17" x14ac:dyDescent="0.3">
      <c r="A18" s="43" t="s">
        <v>69</v>
      </c>
      <c r="B18">
        <v>-4.6870890651220007E-2</v>
      </c>
      <c r="C18">
        <v>4.687089065122E-2</v>
      </c>
      <c r="D18">
        <v>1.6577613380330605E-2</v>
      </c>
      <c r="E18">
        <v>-1.6577613380330598E-2</v>
      </c>
      <c r="F18">
        <v>2.8344570386238603E-2</v>
      </c>
      <c r="G18">
        <v>6.1562991389899849E-4</v>
      </c>
      <c r="H18">
        <v>-0.10561031305189406</v>
      </c>
      <c r="I18">
        <v>7.5517917025337819E-2</v>
      </c>
      <c r="J18">
        <v>-7.551791702533775E-2</v>
      </c>
      <c r="K18">
        <v>-0.44569109080240771</v>
      </c>
      <c r="L18">
        <v>0.7832197644111053</v>
      </c>
      <c r="M18">
        <v>0.59160561870482531</v>
      </c>
      <c r="N18">
        <v>-0.22352995948414131</v>
      </c>
      <c r="O18">
        <v>1</v>
      </c>
    </row>
    <row r="19" spans="1:17" x14ac:dyDescent="0.3">
      <c r="A19" s="43" t="s">
        <v>70</v>
      </c>
      <c r="B19">
        <v>-5.4567025798039459E-2</v>
      </c>
      <c r="C19">
        <v>5.4567025798039466E-2</v>
      </c>
      <c r="D19">
        <v>1.9503372960046401E-2</v>
      </c>
      <c r="E19">
        <v>-1.9503372960046377E-2</v>
      </c>
      <c r="F19">
        <v>-2.1319110400288912E-2</v>
      </c>
      <c r="G19">
        <v>3.8667115173017567E-2</v>
      </c>
      <c r="H19">
        <v>-9.6953203451233996E-2</v>
      </c>
      <c r="I19">
        <v>0.12029308688502113</v>
      </c>
      <c r="J19">
        <v>-0.12029308688502117</v>
      </c>
      <c r="K19">
        <v>-0.48976278574620918</v>
      </c>
      <c r="L19">
        <v>0.50503494049626718</v>
      </c>
      <c r="M19">
        <v>0.82242636682959636</v>
      </c>
      <c r="N19">
        <v>0.33661999411269355</v>
      </c>
      <c r="O19">
        <v>0.77441626382295015</v>
      </c>
      <c r="P19">
        <v>1</v>
      </c>
    </row>
    <row r="20" spans="1:17" ht="15" thickBot="1" x14ac:dyDescent="0.35">
      <c r="A20" s="43" t="s">
        <v>327</v>
      </c>
      <c r="B20" s="16">
        <v>-0.186795539415749</v>
      </c>
      <c r="C20" s="16">
        <v>0.18679553941574895</v>
      </c>
      <c r="D20" s="16">
        <v>-0.1388207104461098</v>
      </c>
      <c r="E20" s="16">
        <v>0.1388207104461098</v>
      </c>
      <c r="F20" s="16">
        <v>-0.43234112732931951</v>
      </c>
      <c r="G20" s="16">
        <v>-0.16860949002232456</v>
      </c>
      <c r="H20" s="16">
        <v>-0.39055102691698557</v>
      </c>
      <c r="I20" s="16">
        <v>0.91707599589620392</v>
      </c>
      <c r="J20" s="16">
        <v>-0.91707599589620392</v>
      </c>
      <c r="K20" s="16">
        <v>-6.883415395093774E-2</v>
      </c>
      <c r="L20" s="16">
        <v>-3.9556261913419608E-3</v>
      </c>
      <c r="M20" s="16">
        <v>2.2003491474193861E-2</v>
      </c>
      <c r="N20" s="16">
        <v>4.6237752065016333E-2</v>
      </c>
      <c r="O20" s="16">
        <v>8.1199360745237634E-2</v>
      </c>
      <c r="P20" s="16">
        <v>0.10329436043952409</v>
      </c>
      <c r="Q20" s="16">
        <v>1</v>
      </c>
    </row>
    <row r="23" spans="1:17" ht="23.4" x14ac:dyDescent="0.45">
      <c r="A23" s="21" t="s">
        <v>133</v>
      </c>
    </row>
    <row r="25" spans="1:17" x14ac:dyDescent="0.3">
      <c r="A25" t="s">
        <v>407</v>
      </c>
    </row>
    <row r="26" spans="1:17" x14ac:dyDescent="0.3">
      <c r="A26" t="s">
        <v>408</v>
      </c>
    </row>
    <row r="27" spans="1:17" x14ac:dyDescent="0.3">
      <c r="A27" t="s">
        <v>409</v>
      </c>
      <c r="B27">
        <v>0.59160999999999997</v>
      </c>
    </row>
    <row r="28" spans="1:17" x14ac:dyDescent="0.3">
      <c r="A28" t="s">
        <v>410</v>
      </c>
      <c r="B28">
        <v>0.82242999999999999</v>
      </c>
    </row>
    <row r="29" spans="1:17" x14ac:dyDescent="0.3">
      <c r="A29" t="s">
        <v>411</v>
      </c>
    </row>
    <row r="31" spans="1:17" x14ac:dyDescent="0.3">
      <c r="A31" t="s">
        <v>134</v>
      </c>
    </row>
    <row r="32" spans="1:17" x14ac:dyDescent="0.3">
      <c r="A32" t="s">
        <v>412</v>
      </c>
    </row>
    <row r="43" spans="1:9" x14ac:dyDescent="0.3">
      <c r="A43" t="s">
        <v>135</v>
      </c>
    </row>
    <row r="45" spans="1:9" x14ac:dyDescent="0.3">
      <c r="A45" t="s">
        <v>136</v>
      </c>
    </row>
    <row r="47" spans="1:9" x14ac:dyDescent="0.3">
      <c r="A47" s="103" t="s">
        <v>137</v>
      </c>
      <c r="B47" s="103"/>
      <c r="C47" s="103"/>
    </row>
    <row r="48" spans="1:9" x14ac:dyDescent="0.3">
      <c r="A48" s="103" t="s">
        <v>138</v>
      </c>
      <c r="B48" s="103"/>
      <c r="C48" s="103"/>
      <c r="D48" s="103"/>
      <c r="E48" s="103"/>
      <c r="F48" s="103"/>
      <c r="G48" s="103"/>
      <c r="H48" s="103"/>
      <c r="I48" s="103"/>
    </row>
    <row r="49" spans="1:4" x14ac:dyDescent="0.3">
      <c r="A49" s="103" t="s">
        <v>139</v>
      </c>
      <c r="B49" s="103"/>
      <c r="C49" s="103"/>
      <c r="D49" s="103"/>
    </row>
  </sheetData>
  <mergeCells count="3">
    <mergeCell ref="A47:C47"/>
    <mergeCell ref="A48:I48"/>
    <mergeCell ref="A49:D49"/>
  </mergeCells>
  <conditionalFormatting sqref="A23"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4:Q20">
    <cfRule type="cellIs" dxfId="9" priority="4" operator="lessThan">
      <formula>0</formula>
    </cfRule>
    <cfRule type="cellIs" dxfId="8" priority="5" operator="greaterThan">
      <formula>0</formula>
    </cfRule>
    <cfRule type="expression" dxfId="7" priority="6">
      <formula>$B$5:$Q$20&lt;0</formula>
    </cfRule>
  </conditionalFormatting>
  <conditionalFormatting sqref="B5:Q20">
    <cfRule type="cellIs" dxfId="6" priority="1" operator="between">
      <formula>0.8</formula>
      <formula>1</formula>
    </cfRule>
    <cfRule type="cellIs" dxfId="5" priority="2" operator="between">
      <formula>0.5</formula>
      <formula>0.8</formula>
    </cfRule>
    <cfRule type="cellIs" dxfId="4" priority="3" operator="between">
      <formula>0</formula>
      <formula>0.5</formula>
    </cfRule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BFD3CE-683B-4417-8E4E-879AD767B53E}">
  <dimension ref="A1:A21"/>
  <sheetViews>
    <sheetView zoomScale="102" zoomScaleNormal="102" workbookViewId="0">
      <selection activeCell="A13" sqref="A13:G21"/>
    </sheetView>
  </sheetViews>
  <sheetFormatPr defaultRowHeight="14.4" x14ac:dyDescent="0.3"/>
  <sheetData>
    <row r="1" spans="1:1" ht="31.2" x14ac:dyDescent="0.3">
      <c r="A1" s="24" t="s">
        <v>140</v>
      </c>
    </row>
    <row r="3" spans="1:1" ht="18" x14ac:dyDescent="0.35">
      <c r="A3" s="14" t="s">
        <v>141</v>
      </c>
    </row>
    <row r="5" spans="1:1" ht="21" x14ac:dyDescent="0.3">
      <c r="A5" s="20" t="s">
        <v>142</v>
      </c>
    </row>
    <row r="7" spans="1:1" ht="18" x14ac:dyDescent="0.35">
      <c r="A7" s="14" t="s">
        <v>143</v>
      </c>
    </row>
    <row r="9" spans="1:1" ht="21" x14ac:dyDescent="0.3">
      <c r="A9" s="20" t="s">
        <v>144</v>
      </c>
    </row>
    <row r="11" spans="1:1" ht="18" x14ac:dyDescent="0.35">
      <c r="A11" s="14" t="s">
        <v>145</v>
      </c>
    </row>
    <row r="13" spans="1:1" ht="21" x14ac:dyDescent="0.3">
      <c r="A13" s="20" t="s">
        <v>146</v>
      </c>
    </row>
    <row r="15" spans="1:1" ht="18" x14ac:dyDescent="0.35">
      <c r="A15" s="14" t="s">
        <v>147</v>
      </c>
    </row>
    <row r="17" spans="1:1" ht="21" x14ac:dyDescent="0.3">
      <c r="A17" s="20" t="s">
        <v>148</v>
      </c>
    </row>
    <row r="18" spans="1:1" x14ac:dyDescent="0.3">
      <c r="A18" s="7"/>
    </row>
    <row r="19" spans="1:1" ht="18" x14ac:dyDescent="0.3">
      <c r="A19" s="18" t="s">
        <v>149</v>
      </c>
    </row>
    <row r="20" spans="1:1" ht="18" x14ac:dyDescent="0.3">
      <c r="A20" s="18" t="s">
        <v>150</v>
      </c>
    </row>
    <row r="21" spans="1:1" ht="18" x14ac:dyDescent="0.3">
      <c r="A21" s="18" t="s">
        <v>151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8A2EE9-3385-49D3-BD36-02851CA7B496}">
  <dimension ref="A1:M292"/>
  <sheetViews>
    <sheetView topLeftCell="A12" zoomScale="99" workbookViewId="0">
      <selection activeCell="B35" sqref="B35"/>
    </sheetView>
  </sheetViews>
  <sheetFormatPr defaultRowHeight="14.4" x14ac:dyDescent="0.3"/>
  <cols>
    <col min="1" max="1" width="18.33203125" customWidth="1"/>
    <col min="2" max="2" width="16.21875" customWidth="1"/>
    <col min="3" max="3" width="13.44140625" bestFit="1" customWidth="1"/>
    <col min="4" max="5" width="12" bestFit="1" customWidth="1"/>
    <col min="6" max="6" width="12.44140625" bestFit="1" customWidth="1"/>
  </cols>
  <sheetData>
    <row r="1" spans="1:13" ht="21" x14ac:dyDescent="0.3">
      <c r="A1" s="20" t="s">
        <v>142</v>
      </c>
      <c r="K1" t="s">
        <v>322</v>
      </c>
    </row>
    <row r="2" spans="1:13" ht="15" thickBot="1" x14ac:dyDescent="0.35"/>
    <row r="3" spans="1:13" ht="18" x14ac:dyDescent="0.35">
      <c r="A3" s="14" t="s">
        <v>143</v>
      </c>
      <c r="K3" s="17" t="s">
        <v>323</v>
      </c>
      <c r="L3" s="35" t="s">
        <v>324</v>
      </c>
      <c r="M3" s="35" t="s">
        <v>325</v>
      </c>
    </row>
    <row r="4" spans="1:13" x14ac:dyDescent="0.3">
      <c r="K4">
        <v>1</v>
      </c>
      <c r="L4" s="11">
        <v>2.6307657675423561</v>
      </c>
      <c r="M4" s="11">
        <v>-1.6207657675423561</v>
      </c>
    </row>
    <row r="5" spans="1:13" x14ac:dyDescent="0.3">
      <c r="A5" t="s">
        <v>152</v>
      </c>
      <c r="K5">
        <v>2</v>
      </c>
      <c r="L5" s="11">
        <v>2.2070734058151804</v>
      </c>
      <c r="M5" s="11">
        <v>-0.54707340581518049</v>
      </c>
    </row>
    <row r="6" spans="1:13" ht="15" thickBot="1" x14ac:dyDescent="0.35">
      <c r="K6">
        <v>3</v>
      </c>
      <c r="L6" s="11">
        <v>3.195514412121677</v>
      </c>
      <c r="M6" s="11">
        <v>0.30448558787832303</v>
      </c>
    </row>
    <row r="7" spans="1:13" x14ac:dyDescent="0.3">
      <c r="A7" s="25" t="s">
        <v>153</v>
      </c>
      <c r="B7" s="25"/>
      <c r="K7">
        <v>4</v>
      </c>
      <c r="L7" s="11">
        <v>3.2505099411309657</v>
      </c>
      <c r="M7" s="11">
        <v>5.9490058869034357E-2</v>
      </c>
    </row>
    <row r="8" spans="1:13" x14ac:dyDescent="0.3">
      <c r="A8" t="s">
        <v>154</v>
      </c>
      <c r="B8">
        <v>0.67499785654560762</v>
      </c>
      <c r="K8">
        <v>5</v>
      </c>
      <c r="L8" s="11">
        <v>3.7195026028326881</v>
      </c>
      <c r="M8" s="11">
        <v>-0.1095026028326882</v>
      </c>
    </row>
    <row r="9" spans="1:13" x14ac:dyDescent="0.3">
      <c r="A9" t="s">
        <v>155</v>
      </c>
      <c r="B9">
        <v>0.45562210634116462</v>
      </c>
      <c r="K9">
        <v>6</v>
      </c>
      <c r="L9" s="11">
        <v>3.7843487794413617</v>
      </c>
      <c r="M9" s="11">
        <v>0.92565122055863824</v>
      </c>
    </row>
    <row r="10" spans="1:13" x14ac:dyDescent="0.3">
      <c r="A10" t="s">
        <v>156</v>
      </c>
      <c r="B10">
        <v>0.4533632769068956</v>
      </c>
      <c r="K10">
        <v>7</v>
      </c>
      <c r="L10" s="11">
        <v>1.8692863793662178</v>
      </c>
      <c r="M10" s="11">
        <v>0.13071362063378222</v>
      </c>
    </row>
    <row r="11" spans="1:13" x14ac:dyDescent="0.3">
      <c r="A11" t="s">
        <v>157</v>
      </c>
      <c r="B11">
        <v>1.023999664501051</v>
      </c>
      <c r="K11">
        <v>8</v>
      </c>
      <c r="L11" s="11">
        <v>3.9316422377382061</v>
      </c>
      <c r="M11" s="11">
        <v>-0.81164223773820598</v>
      </c>
    </row>
    <row r="12" spans="1:13" ht="15" thickBot="1" x14ac:dyDescent="0.35">
      <c r="A12" s="16" t="s">
        <v>78</v>
      </c>
      <c r="B12" s="16">
        <v>243</v>
      </c>
      <c r="K12">
        <v>9</v>
      </c>
      <c r="L12" s="11">
        <v>2.4501228469896228</v>
      </c>
      <c r="M12" s="11">
        <v>-0.49012284698962283</v>
      </c>
    </row>
    <row r="13" spans="1:13" x14ac:dyDescent="0.3">
      <c r="K13">
        <v>10</v>
      </c>
      <c r="L13" s="11">
        <v>2.4260371242492584</v>
      </c>
      <c r="M13" s="11">
        <v>0.80396287575074155</v>
      </c>
    </row>
    <row r="14" spans="1:13" ht="15" thickBot="1" x14ac:dyDescent="0.35">
      <c r="A14" t="s">
        <v>158</v>
      </c>
      <c r="K14">
        <v>11</v>
      </c>
      <c r="L14" s="11">
        <v>2.0082424720990897</v>
      </c>
      <c r="M14" s="11">
        <v>-0.29824247209908972</v>
      </c>
    </row>
    <row r="15" spans="1:13" x14ac:dyDescent="0.3">
      <c r="A15" s="17"/>
      <c r="B15" s="17" t="s">
        <v>80</v>
      </c>
      <c r="C15" s="17" t="s">
        <v>163</v>
      </c>
      <c r="D15" s="17" t="s">
        <v>164</v>
      </c>
      <c r="E15" s="17" t="s">
        <v>165</v>
      </c>
      <c r="F15" s="17" t="s">
        <v>166</v>
      </c>
      <c r="K15">
        <v>12</v>
      </c>
      <c r="L15" s="11">
        <v>4.7079436091391846</v>
      </c>
      <c r="M15" s="11">
        <v>0.29205639086081536</v>
      </c>
    </row>
    <row r="16" spans="1:13" x14ac:dyDescent="0.3">
      <c r="A16" t="s">
        <v>159</v>
      </c>
      <c r="B16">
        <v>1</v>
      </c>
      <c r="C16">
        <v>211.50516522937818</v>
      </c>
      <c r="D16">
        <v>211.50516522937818</v>
      </c>
      <c r="E16">
        <v>201.70717603943709</v>
      </c>
      <c r="F16">
        <v>1.13521102040882E-33</v>
      </c>
      <c r="K16">
        <v>13</v>
      </c>
      <c r="L16" s="11">
        <v>2.485325057148617</v>
      </c>
      <c r="M16" s="11">
        <v>-0.91532505714861689</v>
      </c>
    </row>
    <row r="17" spans="1:13" x14ac:dyDescent="0.3">
      <c r="A17" t="s">
        <v>160</v>
      </c>
      <c r="B17">
        <v>241</v>
      </c>
      <c r="C17">
        <v>252.70665040848189</v>
      </c>
      <c r="D17">
        <v>1.0485753128982651</v>
      </c>
      <c r="K17">
        <v>14</v>
      </c>
      <c r="L17" s="11">
        <v>3.1488562486763603</v>
      </c>
      <c r="M17" s="11">
        <v>-0.14885624867636027</v>
      </c>
    </row>
    <row r="18" spans="1:13" ht="15" thickBot="1" x14ac:dyDescent="0.35">
      <c r="A18" s="16" t="s">
        <v>161</v>
      </c>
      <c r="B18" s="16">
        <v>242</v>
      </c>
      <c r="C18" s="16">
        <v>464.21181563786007</v>
      </c>
      <c r="D18" s="16"/>
      <c r="E18" s="16"/>
      <c r="F18" s="16"/>
      <c r="K18">
        <v>15</v>
      </c>
      <c r="L18" s="11">
        <v>2.4306689940070205</v>
      </c>
      <c r="M18" s="11">
        <v>0.5893310059929795</v>
      </c>
    </row>
    <row r="19" spans="1:13" ht="15" thickBot="1" x14ac:dyDescent="0.35">
      <c r="K19">
        <v>16</v>
      </c>
      <c r="L19" s="11">
        <v>3.0559714113049452</v>
      </c>
      <c r="M19" s="11">
        <v>0.86402858869505472</v>
      </c>
    </row>
    <row r="20" spans="1:13" x14ac:dyDescent="0.3">
      <c r="A20" s="17"/>
      <c r="B20" s="17" t="s">
        <v>167</v>
      </c>
      <c r="C20" s="17" t="s">
        <v>157</v>
      </c>
      <c r="D20" s="17" t="s">
        <v>81</v>
      </c>
      <c r="E20" s="17" t="s">
        <v>168</v>
      </c>
      <c r="F20" s="17" t="s">
        <v>169</v>
      </c>
      <c r="G20" s="17" t="s">
        <v>170</v>
      </c>
      <c r="H20" s="17" t="s">
        <v>171</v>
      </c>
      <c r="I20" s="17" t="s">
        <v>172</v>
      </c>
      <c r="K20">
        <v>17</v>
      </c>
      <c r="L20" s="11">
        <v>2.2061470318636278</v>
      </c>
      <c r="M20" s="11">
        <v>-0.53614703186362789</v>
      </c>
    </row>
    <row r="21" spans="1:13" x14ac:dyDescent="0.3">
      <c r="A21" t="s">
        <v>162</v>
      </c>
      <c r="B21">
        <v>0.92345177453377802</v>
      </c>
      <c r="C21">
        <v>0.16044339082051998</v>
      </c>
      <c r="D21">
        <v>5.7556236490089985</v>
      </c>
      <c r="E21">
        <v>2.6123479605227556E-8</v>
      </c>
      <c r="F21">
        <v>0.60740136435599346</v>
      </c>
      <c r="G21">
        <v>1.2395021847115626</v>
      </c>
      <c r="H21">
        <v>0.60740136435599346</v>
      </c>
      <c r="I21">
        <v>1.2395021847115626</v>
      </c>
      <c r="K21">
        <v>18</v>
      </c>
      <c r="L21" s="11">
        <v>2.7582659069889059</v>
      </c>
      <c r="M21" s="11">
        <v>0.95173409301109402</v>
      </c>
    </row>
    <row r="22" spans="1:13" ht="15" thickBot="1" x14ac:dyDescent="0.35">
      <c r="A22" s="16" t="s">
        <v>5</v>
      </c>
      <c r="B22" s="16">
        <v>0.10492322972609112</v>
      </c>
      <c r="C22" s="16">
        <v>7.3877293373100037E-3</v>
      </c>
      <c r="D22" s="16">
        <v>14.202365156530686</v>
      </c>
      <c r="E22" s="16">
        <v>1.1352110204088361E-33</v>
      </c>
      <c r="F22" s="16">
        <v>9.0370465194012581E-2</v>
      </c>
      <c r="G22" s="16">
        <v>0.11947599425816967</v>
      </c>
      <c r="H22" s="16">
        <v>9.0370465194012581E-2</v>
      </c>
      <c r="I22" s="16">
        <v>0.11947599425816967</v>
      </c>
      <c r="K22">
        <v>19</v>
      </c>
      <c r="L22" s="11">
        <v>2.8212593356944748</v>
      </c>
      <c r="M22" s="11">
        <v>0.67874066430552515</v>
      </c>
    </row>
    <row r="23" spans="1:13" x14ac:dyDescent="0.3">
      <c r="K23">
        <v>20</v>
      </c>
      <c r="L23" s="11">
        <v>3.1621649498657876</v>
      </c>
      <c r="M23" s="11">
        <v>0.18783505013421253</v>
      </c>
    </row>
    <row r="24" spans="1:13" x14ac:dyDescent="0.3">
      <c r="A24" t="s">
        <v>155</v>
      </c>
      <c r="B24">
        <v>0.4556</v>
      </c>
      <c r="K24">
        <v>21</v>
      </c>
      <c r="L24" s="11">
        <v>2.7169185450367372</v>
      </c>
      <c r="M24" s="11">
        <v>1.3630814549632628</v>
      </c>
    </row>
    <row r="25" spans="1:13" x14ac:dyDescent="0.3">
      <c r="A25" t="s">
        <v>268</v>
      </c>
      <c r="K25">
        <v>22</v>
      </c>
      <c r="L25" s="11">
        <v>2.9364691715546751</v>
      </c>
      <c r="M25" s="11">
        <v>-0.18646917155467513</v>
      </c>
    </row>
    <row r="26" spans="1:13" x14ac:dyDescent="0.3">
      <c r="A26" t="s">
        <v>269</v>
      </c>
      <c r="B26">
        <v>0.4536</v>
      </c>
      <c r="K26">
        <v>23</v>
      </c>
      <c r="L26" s="11">
        <v>2.5177481454529538</v>
      </c>
      <c r="M26" s="11">
        <v>-0.2877481454529538</v>
      </c>
    </row>
    <row r="27" spans="1:13" x14ac:dyDescent="0.3">
      <c r="K27">
        <v>24</v>
      </c>
      <c r="L27" s="11">
        <v>5.093315172985017</v>
      </c>
      <c r="M27" s="11">
        <v>2.4866848270149831</v>
      </c>
    </row>
    <row r="28" spans="1:13" x14ac:dyDescent="0.3">
      <c r="A28" t="s">
        <v>367</v>
      </c>
      <c r="K28">
        <v>25</v>
      </c>
      <c r="L28" s="11">
        <v>2.8929295958317085</v>
      </c>
      <c r="M28" s="11">
        <v>0.28707040416829166</v>
      </c>
    </row>
    <row r="29" spans="1:13" x14ac:dyDescent="0.3">
      <c r="A29" t="s">
        <v>368</v>
      </c>
      <c r="B29">
        <f>B24-B26</f>
        <v>2.0000000000000018E-3</v>
      </c>
      <c r="K29">
        <v>26</v>
      </c>
      <c r="L29" s="11">
        <v>3.0914210636801061</v>
      </c>
      <c r="M29" s="11">
        <v>-0.75142106368010619</v>
      </c>
    </row>
    <row r="30" spans="1:13" x14ac:dyDescent="0.3">
      <c r="A30" t="s">
        <v>369</v>
      </c>
      <c r="K30">
        <v>27</v>
      </c>
      <c r="L30" s="11">
        <v>2.2954183970803586</v>
      </c>
      <c r="M30" s="11">
        <v>-0.29541839708035855</v>
      </c>
    </row>
    <row r="31" spans="1:13" x14ac:dyDescent="0.3">
      <c r="A31" t="s">
        <v>370</v>
      </c>
      <c r="C31" s="10"/>
      <c r="K31">
        <v>28</v>
      </c>
      <c r="L31" s="11">
        <v>2.2324249683747901</v>
      </c>
      <c r="M31" s="11">
        <v>-0.2324249683747901</v>
      </c>
    </row>
    <row r="32" spans="1:13" x14ac:dyDescent="0.3">
      <c r="A32" t="s">
        <v>371</v>
      </c>
      <c r="C32" s="10"/>
      <c r="K32">
        <v>29</v>
      </c>
      <c r="L32" s="11">
        <v>3.0670878987235746</v>
      </c>
      <c r="M32" s="11">
        <v>1.2329121012764253</v>
      </c>
    </row>
    <row r="33" spans="1:13" x14ac:dyDescent="0.3">
      <c r="C33" s="10"/>
      <c r="K33">
        <v>30</v>
      </c>
      <c r="L33" s="11">
        <v>2.8771812386553162</v>
      </c>
      <c r="M33" s="11">
        <v>0.12281876134468384</v>
      </c>
    </row>
    <row r="34" spans="1:13" x14ac:dyDescent="0.3">
      <c r="A34" t="s">
        <v>372</v>
      </c>
      <c r="B34">
        <f>SQRT(C17/B12)</f>
        <v>1.019776967483278</v>
      </c>
      <c r="C34" s="10"/>
      <c r="K34">
        <v>31</v>
      </c>
      <c r="L34" s="11">
        <v>1.9415435475873113</v>
      </c>
      <c r="M34" s="11">
        <v>-0.49154354758731134</v>
      </c>
    </row>
    <row r="35" spans="1:13" x14ac:dyDescent="0.3">
      <c r="A35" t="s">
        <v>270</v>
      </c>
      <c r="B35">
        <v>1.02</v>
      </c>
      <c r="C35" s="10"/>
      <c r="K35">
        <v>32</v>
      </c>
      <c r="L35" s="11">
        <v>3.1414452570639404</v>
      </c>
      <c r="M35" s="11">
        <v>-0.6414452570639404</v>
      </c>
    </row>
    <row r="36" spans="1:13" x14ac:dyDescent="0.3">
      <c r="A36" t="s">
        <v>373</v>
      </c>
      <c r="K36">
        <v>33</v>
      </c>
      <c r="L36" s="11">
        <v>2.451975594892728</v>
      </c>
      <c r="M36" s="11">
        <v>0.54802440510727202</v>
      </c>
    </row>
    <row r="37" spans="1:13" x14ac:dyDescent="0.3">
      <c r="A37" t="s">
        <v>374</v>
      </c>
      <c r="K37">
        <v>34</v>
      </c>
      <c r="L37" s="11">
        <v>3.3582167617272209</v>
      </c>
      <c r="M37" s="11">
        <v>-0.90821676172722077</v>
      </c>
    </row>
    <row r="38" spans="1:13" x14ac:dyDescent="0.3">
      <c r="A38" t="s">
        <v>165</v>
      </c>
      <c r="B38">
        <f>E16</f>
        <v>201.70717603943709</v>
      </c>
      <c r="K38">
        <v>35</v>
      </c>
      <c r="L38" s="11">
        <v>2.7039493097150027</v>
      </c>
      <c r="M38" s="11">
        <v>0.56605069028499733</v>
      </c>
    </row>
    <row r="39" spans="1:13" x14ac:dyDescent="0.3">
      <c r="A39" t="s">
        <v>375</v>
      </c>
      <c r="K39">
        <v>36</v>
      </c>
      <c r="L39" s="11">
        <v>3.4780584673451829</v>
      </c>
      <c r="M39" s="11">
        <v>0.12194153265481722</v>
      </c>
    </row>
    <row r="40" spans="1:13" x14ac:dyDescent="0.3">
      <c r="A40" t="s">
        <v>231</v>
      </c>
      <c r="B40">
        <v>5.7560000000000002</v>
      </c>
      <c r="C40" t="s">
        <v>274</v>
      </c>
      <c r="K40">
        <v>37</v>
      </c>
      <c r="L40" s="11">
        <v>2.7601186548920111</v>
      </c>
      <c r="M40" s="11">
        <v>-0.76011865489201114</v>
      </c>
    </row>
    <row r="41" spans="1:13" x14ac:dyDescent="0.3">
      <c r="A41" t="s">
        <v>166</v>
      </c>
      <c r="B41" t="s">
        <v>271</v>
      </c>
      <c r="C41" t="s">
        <v>272</v>
      </c>
      <c r="K41">
        <v>38</v>
      </c>
      <c r="L41" s="11">
        <v>2.8175538398882649</v>
      </c>
      <c r="M41" s="11">
        <v>0.25244616011173493</v>
      </c>
    </row>
    <row r="42" spans="1:13" x14ac:dyDescent="0.3">
      <c r="A42" t="s">
        <v>273</v>
      </c>
      <c r="K42">
        <v>39</v>
      </c>
      <c r="L42" s="11">
        <v>2.9805956553615016</v>
      </c>
      <c r="M42" s="11">
        <v>-0.67059565536150156</v>
      </c>
    </row>
    <row r="43" spans="1:13" x14ac:dyDescent="0.3">
      <c r="K43">
        <v>40</v>
      </c>
      <c r="L43" s="11">
        <v>4.1459740864145216</v>
      </c>
      <c r="M43" s="11">
        <v>0.85402591358547841</v>
      </c>
    </row>
    <row r="44" spans="1:13" x14ac:dyDescent="0.3">
      <c r="A44" t="s">
        <v>275</v>
      </c>
      <c r="K44">
        <v>41</v>
      </c>
      <c r="L44" s="11">
        <v>2.7351065582000942</v>
      </c>
      <c r="M44" s="11">
        <v>-0.49510655820009397</v>
      </c>
    </row>
    <row r="45" spans="1:13" x14ac:dyDescent="0.3">
      <c r="A45" t="s">
        <v>276</v>
      </c>
      <c r="K45">
        <v>42</v>
      </c>
      <c r="L45" s="11">
        <v>2.6743053432653232</v>
      </c>
      <c r="M45" s="11">
        <v>-0.13430534326532317</v>
      </c>
    </row>
    <row r="46" spans="1:13" ht="18" x14ac:dyDescent="0.35">
      <c r="B46" s="19" t="s">
        <v>278</v>
      </c>
      <c r="C46" s="19" t="s">
        <v>277</v>
      </c>
      <c r="K46">
        <v>43</v>
      </c>
      <c r="L46" s="11">
        <v>2.3482217123188498</v>
      </c>
      <c r="M46" s="11">
        <v>0.71177828768115026</v>
      </c>
    </row>
    <row r="47" spans="1:13" x14ac:dyDescent="0.3">
      <c r="K47">
        <v>44</v>
      </c>
      <c r="L47" s="11">
        <v>1.9535864089574935</v>
      </c>
      <c r="M47" s="11">
        <v>-0.63358640895749341</v>
      </c>
    </row>
    <row r="48" spans="1:13" x14ac:dyDescent="0.3">
      <c r="A48" t="s">
        <v>376</v>
      </c>
      <c r="K48">
        <v>45</v>
      </c>
      <c r="L48" s="11">
        <v>4.2577258686846786</v>
      </c>
      <c r="M48" s="11">
        <v>1.342274131315321</v>
      </c>
    </row>
    <row r="49" spans="1:13" x14ac:dyDescent="0.3">
      <c r="A49" t="s">
        <v>377</v>
      </c>
      <c r="K49">
        <v>46</v>
      </c>
      <c r="L49" s="11">
        <v>2.7511943812441793</v>
      </c>
      <c r="M49" s="11">
        <v>0.24880561875582075</v>
      </c>
    </row>
    <row r="50" spans="1:13" x14ac:dyDescent="0.3">
      <c r="A50" t="s">
        <v>378</v>
      </c>
      <c r="K50">
        <v>47</v>
      </c>
      <c r="L50" s="11">
        <v>3.1161857181558563</v>
      </c>
      <c r="M50" s="11">
        <v>1.8838142818441437</v>
      </c>
    </row>
    <row r="51" spans="1:13" x14ac:dyDescent="0.3">
      <c r="K51">
        <v>48</v>
      </c>
      <c r="L51" s="11">
        <v>4.4430006589951745</v>
      </c>
      <c r="M51" s="11">
        <v>1.5569993410048255</v>
      </c>
    </row>
    <row r="52" spans="1:13" x14ac:dyDescent="0.3">
      <c r="A52" t="s">
        <v>379</v>
      </c>
      <c r="K52">
        <v>49</v>
      </c>
      <c r="L52" s="11">
        <v>3.8940003715922469</v>
      </c>
      <c r="M52" s="11">
        <v>-1.8440003715922471</v>
      </c>
    </row>
    <row r="53" spans="1:13" x14ac:dyDescent="0.3">
      <c r="A53" t="s">
        <v>380</v>
      </c>
      <c r="K53">
        <v>50</v>
      </c>
      <c r="L53" s="11">
        <v>2.7280350324553666</v>
      </c>
      <c r="M53" s="11">
        <v>0.2719649675446334</v>
      </c>
    </row>
    <row r="54" spans="1:13" x14ac:dyDescent="0.3">
      <c r="K54">
        <v>51</v>
      </c>
      <c r="L54" s="11">
        <v>2.2185293591015025</v>
      </c>
      <c r="M54" s="11">
        <v>0.28147064089849749</v>
      </c>
    </row>
    <row r="55" spans="1:13" x14ac:dyDescent="0.3">
      <c r="K55">
        <v>52</v>
      </c>
      <c r="L55" s="11">
        <v>2.0100952200021949</v>
      </c>
      <c r="M55" s="11">
        <v>0.58990477999780522</v>
      </c>
    </row>
    <row r="56" spans="1:13" x14ac:dyDescent="0.3">
      <c r="K56">
        <v>53</v>
      </c>
      <c r="L56" s="11">
        <v>4.6662567813193228</v>
      </c>
      <c r="M56" s="11">
        <v>0.53374321868067742</v>
      </c>
    </row>
    <row r="57" spans="1:13" x14ac:dyDescent="0.3">
      <c r="K57">
        <v>54</v>
      </c>
      <c r="L57" s="11">
        <v>1.977672131697858</v>
      </c>
      <c r="M57" s="11">
        <v>-0.417672131697858</v>
      </c>
    </row>
    <row r="58" spans="1:13" x14ac:dyDescent="0.3">
      <c r="K58">
        <v>55</v>
      </c>
      <c r="L58" s="11">
        <v>3.8093608761332787</v>
      </c>
      <c r="M58" s="11">
        <v>0.53063912386672119</v>
      </c>
    </row>
    <row r="59" spans="1:13" x14ac:dyDescent="0.3">
      <c r="K59">
        <v>56</v>
      </c>
      <c r="L59" s="11">
        <v>2.8623592554304764</v>
      </c>
      <c r="M59" s="11">
        <v>0.64764074456952336</v>
      </c>
    </row>
    <row r="60" spans="1:13" x14ac:dyDescent="0.3">
      <c r="K60">
        <v>57</v>
      </c>
      <c r="L60" s="11">
        <v>4.9626964458161167</v>
      </c>
      <c r="M60" s="11">
        <v>-1.9626964458161167</v>
      </c>
    </row>
    <row r="61" spans="1:13" x14ac:dyDescent="0.3">
      <c r="K61">
        <v>58</v>
      </c>
      <c r="L61" s="11">
        <v>3.503410029904793</v>
      </c>
      <c r="M61" s="11">
        <v>-2.003410029904793</v>
      </c>
    </row>
    <row r="62" spans="1:13" x14ac:dyDescent="0.3">
      <c r="K62">
        <v>59</v>
      </c>
      <c r="L62" s="11">
        <v>2.0981007453996803</v>
      </c>
      <c r="M62" s="11">
        <v>-0.33810074539968027</v>
      </c>
    </row>
    <row r="63" spans="1:13" x14ac:dyDescent="0.3">
      <c r="K63">
        <v>60</v>
      </c>
      <c r="L63" s="11">
        <v>5.9131561201089617</v>
      </c>
      <c r="M63" s="11">
        <v>0.81684387989103868</v>
      </c>
    </row>
    <row r="64" spans="1:13" x14ac:dyDescent="0.3">
      <c r="K64">
        <v>61</v>
      </c>
      <c r="L64" s="11">
        <v>2.9364691715546751</v>
      </c>
      <c r="M64" s="11">
        <v>0.27353082844532484</v>
      </c>
    </row>
    <row r="65" spans="11:13" x14ac:dyDescent="0.3">
      <c r="K65">
        <v>62</v>
      </c>
      <c r="L65" s="11">
        <v>2.3361788509486678</v>
      </c>
      <c r="M65" s="11">
        <v>-0.33617885094866784</v>
      </c>
    </row>
    <row r="66" spans="11:13" x14ac:dyDescent="0.3">
      <c r="K66">
        <v>63</v>
      </c>
      <c r="L66" s="11">
        <v>2.0777205184655259</v>
      </c>
      <c r="M66" s="11">
        <v>-9.7720518465525874E-2</v>
      </c>
    </row>
    <row r="67" spans="11:13" x14ac:dyDescent="0.3">
      <c r="K67">
        <v>64</v>
      </c>
      <c r="L67" s="11">
        <v>3.1358870133546253</v>
      </c>
      <c r="M67" s="11">
        <v>0.62411298664537451</v>
      </c>
    </row>
    <row r="68" spans="11:13" x14ac:dyDescent="0.3">
      <c r="K68">
        <v>65</v>
      </c>
      <c r="L68" s="11">
        <v>2.8786945206907286</v>
      </c>
      <c r="M68" s="11">
        <v>-0.2386945206907285</v>
      </c>
    </row>
    <row r="69" spans="11:13" x14ac:dyDescent="0.3">
      <c r="K69">
        <v>66</v>
      </c>
      <c r="L69" s="11">
        <v>3.1093616346272963</v>
      </c>
      <c r="M69" s="11">
        <v>4.06383653727036E-2</v>
      </c>
    </row>
    <row r="70" spans="11:13" x14ac:dyDescent="0.3">
      <c r="K70">
        <v>67</v>
      </c>
      <c r="L70" s="11">
        <v>2.5807415741585227</v>
      </c>
      <c r="M70" s="11">
        <v>-0.11074157415852248</v>
      </c>
    </row>
    <row r="71" spans="11:13" x14ac:dyDescent="0.3">
      <c r="K71">
        <v>68</v>
      </c>
      <c r="L71" s="11">
        <v>1.1489069109260805</v>
      </c>
      <c r="M71" s="11">
        <v>-0.14890691092608055</v>
      </c>
    </row>
    <row r="72" spans="11:13" x14ac:dyDescent="0.3">
      <c r="K72">
        <v>69</v>
      </c>
      <c r="L72" s="11">
        <v>2.9309109278453604</v>
      </c>
      <c r="M72" s="11">
        <v>-0.92091092784536066</v>
      </c>
    </row>
    <row r="73" spans="11:13" x14ac:dyDescent="0.3">
      <c r="K73">
        <v>70</v>
      </c>
      <c r="L73" s="11">
        <v>2.4473437251349655</v>
      </c>
      <c r="M73" s="11">
        <v>-0.3573437251349656</v>
      </c>
    </row>
    <row r="74" spans="11:13" x14ac:dyDescent="0.3">
      <c r="K74">
        <v>71</v>
      </c>
      <c r="L74" s="11">
        <v>2.1703579136207738</v>
      </c>
      <c r="M74" s="11">
        <v>-0.20035791362077382</v>
      </c>
    </row>
    <row r="75" spans="11:13" x14ac:dyDescent="0.3">
      <c r="K75">
        <v>72</v>
      </c>
      <c r="L75" s="11">
        <v>2.8305230752099995</v>
      </c>
      <c r="M75" s="11">
        <v>0.16947692479000054</v>
      </c>
    </row>
    <row r="76" spans="11:13" x14ac:dyDescent="0.3">
      <c r="K76">
        <v>73</v>
      </c>
      <c r="L76" s="11">
        <v>3.5450968577246544</v>
      </c>
      <c r="M76" s="11">
        <v>-0.40509685772465431</v>
      </c>
    </row>
    <row r="77" spans="11:13" x14ac:dyDescent="0.3">
      <c r="K77">
        <v>74</v>
      </c>
      <c r="L77" s="11">
        <v>3.3987297733793627</v>
      </c>
      <c r="M77" s="11">
        <v>1.6012702266206373</v>
      </c>
    </row>
    <row r="78" spans="11:13" x14ac:dyDescent="0.3">
      <c r="K78">
        <v>75</v>
      </c>
      <c r="L78" s="11">
        <v>2.4214052544914964</v>
      </c>
      <c r="M78" s="11">
        <v>-0.22140525449149617</v>
      </c>
    </row>
    <row r="79" spans="11:13" x14ac:dyDescent="0.3">
      <c r="K79">
        <v>76</v>
      </c>
      <c r="L79" s="11">
        <v>2.0304754469363493</v>
      </c>
      <c r="M79" s="11">
        <v>-0.78047544693634929</v>
      </c>
    </row>
    <row r="80" spans="11:13" x14ac:dyDescent="0.3">
      <c r="K80">
        <v>77</v>
      </c>
      <c r="L80" s="11">
        <v>2.7169185450367372</v>
      </c>
      <c r="M80" s="11">
        <v>0.36308145496326283</v>
      </c>
    </row>
    <row r="81" spans="11:13" x14ac:dyDescent="0.3">
      <c r="K81">
        <v>78</v>
      </c>
      <c r="L81" s="11">
        <v>3.9612862041878856</v>
      </c>
      <c r="M81" s="11">
        <v>3.8713795812114427E-2</v>
      </c>
    </row>
    <row r="82" spans="11:13" x14ac:dyDescent="0.3">
      <c r="K82">
        <v>79</v>
      </c>
      <c r="L82" s="11">
        <v>3.1652835375881381</v>
      </c>
      <c r="M82" s="11">
        <v>-0.16528353758813807</v>
      </c>
    </row>
    <row r="83" spans="11:13" x14ac:dyDescent="0.3">
      <c r="K83">
        <v>80</v>
      </c>
      <c r="L83" s="11">
        <v>2.6585569860889309</v>
      </c>
      <c r="M83" s="11">
        <v>5.1443013911069091E-2</v>
      </c>
    </row>
    <row r="84" spans="11:13" x14ac:dyDescent="0.3">
      <c r="K84">
        <v>81</v>
      </c>
      <c r="L84" s="11">
        <v>2.8577273856727143</v>
      </c>
      <c r="M84" s="11">
        <v>0.14227261432728566</v>
      </c>
    </row>
    <row r="85" spans="11:13" x14ac:dyDescent="0.3">
      <c r="K85">
        <v>82</v>
      </c>
      <c r="L85" s="11">
        <v>2.6001954271411245</v>
      </c>
      <c r="M85" s="11">
        <v>0.79980457285887541</v>
      </c>
    </row>
    <row r="86" spans="11:13" x14ac:dyDescent="0.3">
      <c r="K86">
        <v>83</v>
      </c>
      <c r="L86" s="11">
        <v>1.797368677012817</v>
      </c>
      <c r="M86" s="11">
        <v>3.2631322987183076E-2</v>
      </c>
    </row>
    <row r="87" spans="11:13" x14ac:dyDescent="0.3">
      <c r="K87">
        <v>84</v>
      </c>
      <c r="L87" s="11">
        <v>4.0842464975281985</v>
      </c>
      <c r="M87" s="11">
        <v>0.91575350247180154</v>
      </c>
    </row>
    <row r="88" spans="11:13" x14ac:dyDescent="0.3">
      <c r="K88">
        <v>85</v>
      </c>
      <c r="L88" s="11">
        <v>2.537201998435556</v>
      </c>
      <c r="M88" s="11">
        <v>-0.50720199843555624</v>
      </c>
    </row>
    <row r="89" spans="11:13" x14ac:dyDescent="0.3">
      <c r="K89">
        <v>86</v>
      </c>
      <c r="L89" s="11">
        <v>4.6681095292224279</v>
      </c>
      <c r="M89" s="11">
        <v>0.50189047077757198</v>
      </c>
    </row>
    <row r="90" spans="11:13" x14ac:dyDescent="0.3">
      <c r="K90">
        <v>87</v>
      </c>
      <c r="L90" s="11">
        <v>2.2639216827275743</v>
      </c>
      <c r="M90" s="11">
        <v>-0.26392168272757432</v>
      </c>
    </row>
    <row r="91" spans="11:13" x14ac:dyDescent="0.3">
      <c r="K91">
        <v>88</v>
      </c>
      <c r="L91" s="11">
        <v>2.7502680072926267</v>
      </c>
      <c r="M91" s="11">
        <v>1.2497319927073733</v>
      </c>
    </row>
    <row r="92" spans="11:13" x14ac:dyDescent="0.3">
      <c r="K92">
        <v>89</v>
      </c>
      <c r="L92" s="11">
        <v>3.3459264581408714</v>
      </c>
      <c r="M92" s="11">
        <v>2.5040735418591282</v>
      </c>
    </row>
    <row r="93" spans="11:13" x14ac:dyDescent="0.3">
      <c r="K93">
        <v>90</v>
      </c>
      <c r="L93" s="11">
        <v>3.0170637053397407</v>
      </c>
      <c r="M93" s="11">
        <v>-1.7063705339740665E-2</v>
      </c>
    </row>
    <row r="94" spans="11:13" x14ac:dyDescent="0.3">
      <c r="K94">
        <v>91</v>
      </c>
      <c r="L94" s="11">
        <v>3.740561761502228</v>
      </c>
      <c r="M94" s="11">
        <v>-0.74056176150222797</v>
      </c>
    </row>
    <row r="95" spans="11:13" x14ac:dyDescent="0.3">
      <c r="K95">
        <v>92</v>
      </c>
      <c r="L95" s="11">
        <v>3.1402714408962207</v>
      </c>
      <c r="M95" s="11">
        <v>0.35972855910377932</v>
      </c>
    </row>
    <row r="96" spans="11:13" x14ac:dyDescent="0.3">
      <c r="K96">
        <v>93</v>
      </c>
      <c r="L96" s="11">
        <v>1.5895214459973688</v>
      </c>
      <c r="M96" s="11">
        <v>-0.58952144599736878</v>
      </c>
    </row>
    <row r="97" spans="11:13" x14ac:dyDescent="0.3">
      <c r="K97">
        <v>94</v>
      </c>
      <c r="L97" s="11">
        <v>2.5686987127883407</v>
      </c>
      <c r="M97" s="11">
        <v>1.7313012872116591</v>
      </c>
    </row>
    <row r="98" spans="11:13" x14ac:dyDescent="0.3">
      <c r="K98">
        <v>95</v>
      </c>
      <c r="L98" s="11">
        <v>3.164357163636585</v>
      </c>
      <c r="M98" s="11">
        <v>8.5642836363414965E-2</v>
      </c>
    </row>
    <row r="99" spans="11:13" x14ac:dyDescent="0.3">
      <c r="K99">
        <v>96</v>
      </c>
      <c r="L99" s="11">
        <v>5.1627932193514532</v>
      </c>
      <c r="M99" s="11">
        <v>-0.43279321935145276</v>
      </c>
    </row>
    <row r="100" spans="11:13" x14ac:dyDescent="0.3">
      <c r="K100">
        <v>97</v>
      </c>
      <c r="L100" s="11">
        <v>3.584004563689859</v>
      </c>
      <c r="M100" s="11">
        <v>0.41599543631014102</v>
      </c>
    </row>
    <row r="101" spans="11:13" x14ac:dyDescent="0.3">
      <c r="K101">
        <v>98</v>
      </c>
      <c r="L101" s="11">
        <v>2.1712842875723259</v>
      </c>
      <c r="M101" s="11">
        <v>-0.67128428757232594</v>
      </c>
    </row>
    <row r="102" spans="11:13" x14ac:dyDescent="0.3">
      <c r="K102">
        <v>99</v>
      </c>
      <c r="L102" s="11">
        <v>3.003168096066454</v>
      </c>
      <c r="M102" s="11">
        <v>-3.1680960664539626E-3</v>
      </c>
    </row>
    <row r="103" spans="11:13" x14ac:dyDescent="0.3">
      <c r="K103">
        <v>100</v>
      </c>
      <c r="L103" s="11">
        <v>2.2111183674890831</v>
      </c>
      <c r="M103" s="11">
        <v>-0.71111836748908308</v>
      </c>
    </row>
    <row r="104" spans="11:13" x14ac:dyDescent="0.3">
      <c r="K104">
        <v>101</v>
      </c>
      <c r="L104" s="11">
        <v>2.1082908588667575</v>
      </c>
      <c r="M104" s="11">
        <v>0.39170914113324251</v>
      </c>
    </row>
    <row r="105" spans="11:13" x14ac:dyDescent="0.3">
      <c r="K105">
        <v>102</v>
      </c>
      <c r="L105" s="11">
        <v>2.4816195613424075</v>
      </c>
      <c r="M105" s="11">
        <v>0.51838043865759253</v>
      </c>
    </row>
    <row r="106" spans="11:13" x14ac:dyDescent="0.3">
      <c r="K106">
        <v>103</v>
      </c>
      <c r="L106" s="11">
        <v>5.3530393452874039</v>
      </c>
      <c r="M106" s="11">
        <v>-2.8530393452874039</v>
      </c>
    </row>
    <row r="107" spans="11:13" x14ac:dyDescent="0.3">
      <c r="K107">
        <v>104</v>
      </c>
      <c r="L107" s="11">
        <v>3.1337868232353534</v>
      </c>
      <c r="M107" s="11">
        <v>0.34621317676464658</v>
      </c>
    </row>
    <row r="108" spans="11:13" x14ac:dyDescent="0.3">
      <c r="K108">
        <v>105</v>
      </c>
      <c r="L108" s="11">
        <v>2.9948307305024815</v>
      </c>
      <c r="M108" s="11">
        <v>1.0851692694975186</v>
      </c>
    </row>
    <row r="109" spans="11:13" x14ac:dyDescent="0.3">
      <c r="K109">
        <v>106</v>
      </c>
      <c r="L109" s="11">
        <v>2.4797668134393023</v>
      </c>
      <c r="M109" s="11">
        <v>-0.83976681343930237</v>
      </c>
    </row>
    <row r="110" spans="11:13" x14ac:dyDescent="0.3">
      <c r="K110">
        <v>107</v>
      </c>
      <c r="L110" s="11">
        <v>2.9549966505857244</v>
      </c>
      <c r="M110" s="11">
        <v>1.1050033494142752</v>
      </c>
    </row>
    <row r="111" spans="11:13" x14ac:dyDescent="0.3">
      <c r="K111">
        <v>108</v>
      </c>
      <c r="L111" s="11">
        <v>3.3922451557184954</v>
      </c>
      <c r="M111" s="11">
        <v>0.89775484428150465</v>
      </c>
    </row>
    <row r="112" spans="11:13" x14ac:dyDescent="0.3">
      <c r="K112">
        <v>109</v>
      </c>
      <c r="L112" s="11">
        <v>2.7465625114864167</v>
      </c>
      <c r="M112" s="11">
        <v>1.0134374885135831</v>
      </c>
    </row>
    <row r="113" spans="11:13" x14ac:dyDescent="0.3">
      <c r="K113">
        <v>110</v>
      </c>
      <c r="L113" s="11">
        <v>2.3824975485262918</v>
      </c>
      <c r="M113" s="11">
        <v>1.6175024514737082</v>
      </c>
    </row>
    <row r="114" spans="11:13" x14ac:dyDescent="0.3">
      <c r="K114">
        <v>111</v>
      </c>
      <c r="L114" s="11">
        <v>2.3537799560281649</v>
      </c>
      <c r="M114" s="11">
        <v>0.64622004397183508</v>
      </c>
    </row>
    <row r="115" spans="11:13" x14ac:dyDescent="0.3">
      <c r="K115">
        <v>112</v>
      </c>
      <c r="L115" s="11">
        <v>1.5361312226750172</v>
      </c>
      <c r="M115" s="11">
        <v>-0.53613122267501723</v>
      </c>
    </row>
    <row r="116" spans="11:13" x14ac:dyDescent="0.3">
      <c r="K116">
        <v>113</v>
      </c>
      <c r="L116" s="11">
        <v>4.7759083734702088</v>
      </c>
      <c r="M116" s="11">
        <v>-0.7759083734702088</v>
      </c>
    </row>
    <row r="117" spans="11:13" x14ac:dyDescent="0.3">
      <c r="K117">
        <v>114</v>
      </c>
      <c r="L117" s="11">
        <v>3.2755220378228826</v>
      </c>
      <c r="M117" s="11">
        <v>-0.72552203782288283</v>
      </c>
    </row>
    <row r="118" spans="11:13" x14ac:dyDescent="0.3">
      <c r="K118">
        <v>115</v>
      </c>
      <c r="L118" s="11">
        <v>3.6309101693513428</v>
      </c>
      <c r="M118" s="11">
        <v>0.36908983064865719</v>
      </c>
    </row>
    <row r="119" spans="11:13" x14ac:dyDescent="0.3">
      <c r="K119">
        <v>116</v>
      </c>
      <c r="L119" s="11">
        <v>2.6604097339920356</v>
      </c>
      <c r="M119" s="11">
        <v>0.83959026600796438</v>
      </c>
    </row>
    <row r="120" spans="11:13" x14ac:dyDescent="0.3">
      <c r="K120">
        <v>117</v>
      </c>
      <c r="L120" s="11">
        <v>4.2141862929617124</v>
      </c>
      <c r="M120" s="11">
        <v>0.85581370703828785</v>
      </c>
    </row>
    <row r="121" spans="11:13" x14ac:dyDescent="0.3">
      <c r="K121">
        <v>118</v>
      </c>
      <c r="L121" s="11">
        <v>2.0434446822580838</v>
      </c>
      <c r="M121" s="11">
        <v>-0.54344468225808384</v>
      </c>
    </row>
    <row r="122" spans="11:13" x14ac:dyDescent="0.3">
      <c r="K122">
        <v>119</v>
      </c>
      <c r="L122" s="11">
        <v>2.2083392456344253</v>
      </c>
      <c r="M122" s="11">
        <v>-0.40833924563442525</v>
      </c>
    </row>
    <row r="123" spans="11:13" x14ac:dyDescent="0.3">
      <c r="K123">
        <v>120</v>
      </c>
      <c r="L123" s="11">
        <v>3.6722575313035115</v>
      </c>
      <c r="M123" s="11">
        <v>-0.75225753130351158</v>
      </c>
    </row>
    <row r="124" spans="11:13" x14ac:dyDescent="0.3">
      <c r="K124">
        <v>121</v>
      </c>
      <c r="L124" s="11">
        <v>2.1397875732195422</v>
      </c>
      <c r="M124" s="11">
        <v>0.17021242678045789</v>
      </c>
    </row>
    <row r="125" spans="11:13" x14ac:dyDescent="0.3">
      <c r="K125">
        <v>122</v>
      </c>
      <c r="L125" s="11">
        <v>2.3000502668381211</v>
      </c>
      <c r="M125" s="11">
        <v>-0.62005026683812114</v>
      </c>
    </row>
    <row r="126" spans="11:13" x14ac:dyDescent="0.3">
      <c r="K126">
        <v>123</v>
      </c>
      <c r="L126" s="11">
        <v>2.3778656787685293</v>
      </c>
      <c r="M126" s="11">
        <v>0.12213432123147072</v>
      </c>
    </row>
    <row r="127" spans="11:13" x14ac:dyDescent="0.3">
      <c r="K127">
        <v>124</v>
      </c>
      <c r="L127" s="11">
        <v>2.5344228765808987</v>
      </c>
      <c r="M127" s="11">
        <v>-0.53442287658089871</v>
      </c>
    </row>
    <row r="128" spans="11:13" x14ac:dyDescent="0.3">
      <c r="K128">
        <v>125</v>
      </c>
      <c r="L128" s="11">
        <v>2.2129711153921878</v>
      </c>
      <c r="M128" s="11">
        <v>0.30702888460781219</v>
      </c>
    </row>
    <row r="129" spans="11:13" x14ac:dyDescent="0.3">
      <c r="K129">
        <v>126</v>
      </c>
      <c r="L129" s="11">
        <v>4.5868360637019769</v>
      </c>
      <c r="M129" s="11">
        <v>-0.38683606370197676</v>
      </c>
    </row>
    <row r="130" spans="11:13" x14ac:dyDescent="0.3">
      <c r="K130">
        <v>127</v>
      </c>
      <c r="L130" s="11">
        <v>1.8461270305774056</v>
      </c>
      <c r="M130" s="11">
        <v>-0.36612703057740559</v>
      </c>
    </row>
    <row r="131" spans="11:13" x14ac:dyDescent="0.3">
      <c r="K131">
        <v>128</v>
      </c>
      <c r="L131" s="11">
        <v>2.4019514015088941</v>
      </c>
      <c r="M131" s="11">
        <v>-0.40195140150889408</v>
      </c>
    </row>
    <row r="132" spans="11:13" x14ac:dyDescent="0.3">
      <c r="K132">
        <v>129</v>
      </c>
      <c r="L132" s="11">
        <v>2.1110699807214153</v>
      </c>
      <c r="M132" s="11">
        <v>-0.11106998072141527</v>
      </c>
    </row>
    <row r="133" spans="11:13" x14ac:dyDescent="0.3">
      <c r="K133">
        <v>130</v>
      </c>
      <c r="L133" s="11">
        <v>3.3631880973526762</v>
      </c>
      <c r="M133" s="11">
        <v>-1.183188097352676</v>
      </c>
    </row>
    <row r="134" spans="11:13" x14ac:dyDescent="0.3">
      <c r="K134">
        <v>131</v>
      </c>
      <c r="L134" s="11">
        <v>2.8243779234168249</v>
      </c>
      <c r="M134" s="11">
        <v>-1.3243779234168249</v>
      </c>
    </row>
    <row r="135" spans="11:13" x14ac:dyDescent="0.3">
      <c r="K135">
        <v>132</v>
      </c>
      <c r="L135" s="11">
        <v>2.9346164236515699</v>
      </c>
      <c r="M135" s="11">
        <v>-0.10461642365156987</v>
      </c>
    </row>
    <row r="136" spans="11:13" x14ac:dyDescent="0.3">
      <c r="K136">
        <v>133</v>
      </c>
      <c r="L136" s="11">
        <v>2.091616127738813</v>
      </c>
      <c r="M136" s="11">
        <v>-0.591616127738813</v>
      </c>
    </row>
    <row r="137" spans="11:13" x14ac:dyDescent="0.3">
      <c r="K137">
        <v>134</v>
      </c>
      <c r="L137" s="11">
        <v>2.1925908884580334</v>
      </c>
      <c r="M137" s="11">
        <v>-0.1925908884580334</v>
      </c>
    </row>
    <row r="138" spans="11:13" x14ac:dyDescent="0.3">
      <c r="K138">
        <v>135</v>
      </c>
      <c r="L138" s="11">
        <v>2.7484152593895219</v>
      </c>
      <c r="M138" s="11">
        <v>0.50158474061047809</v>
      </c>
    </row>
    <row r="139" spans="11:13" x14ac:dyDescent="0.3">
      <c r="K139">
        <v>136</v>
      </c>
      <c r="L139" s="11">
        <v>1.8452006566258532</v>
      </c>
      <c r="M139" s="11">
        <v>-0.5952006566258532</v>
      </c>
    </row>
    <row r="140" spans="11:13" x14ac:dyDescent="0.3">
      <c r="K140">
        <v>137</v>
      </c>
      <c r="L140" s="11">
        <v>2.0138007158084048</v>
      </c>
      <c r="M140" s="11">
        <v>-1.3800715808404806E-2</v>
      </c>
    </row>
    <row r="141" spans="11:13" x14ac:dyDescent="0.3">
      <c r="K141">
        <v>138</v>
      </c>
      <c r="L141" s="11">
        <v>2.3676755653014521</v>
      </c>
      <c r="M141" s="11">
        <v>-0.36767556530145207</v>
      </c>
    </row>
    <row r="142" spans="11:13" x14ac:dyDescent="0.3">
      <c r="K142">
        <v>139</v>
      </c>
      <c r="L142" s="11">
        <v>2.5390547463386612</v>
      </c>
      <c r="M142" s="11">
        <v>-0.53905474633866124</v>
      </c>
    </row>
    <row r="143" spans="11:13" x14ac:dyDescent="0.3">
      <c r="K143">
        <v>140</v>
      </c>
      <c r="L143" s="11">
        <v>2.2759645440977563</v>
      </c>
      <c r="M143" s="11">
        <v>0.47403545590224372</v>
      </c>
    </row>
    <row r="144" spans="11:13" x14ac:dyDescent="0.3">
      <c r="K144">
        <v>141</v>
      </c>
      <c r="L144" s="11">
        <v>2.6752317172168754</v>
      </c>
      <c r="M144" s="11">
        <v>0.82476828278312464</v>
      </c>
    </row>
    <row r="145" spans="11:13" x14ac:dyDescent="0.3">
      <c r="K145">
        <v>142</v>
      </c>
      <c r="L145" s="11">
        <v>5.0037043419005931</v>
      </c>
      <c r="M145" s="11">
        <v>1.6962956580994071</v>
      </c>
    </row>
    <row r="146" spans="11:13" x14ac:dyDescent="0.3">
      <c r="K146">
        <v>143</v>
      </c>
      <c r="L146" s="11">
        <v>5.4496296784650289</v>
      </c>
      <c r="M146" s="11">
        <v>-0.44962967846502888</v>
      </c>
    </row>
    <row r="147" spans="11:13" x14ac:dyDescent="0.3">
      <c r="K147">
        <v>144</v>
      </c>
      <c r="L147" s="11">
        <v>4.3320832270250449</v>
      </c>
      <c r="M147" s="11">
        <v>0.66791677297495511</v>
      </c>
    </row>
    <row r="148" spans="11:13" x14ac:dyDescent="0.3">
      <c r="K148">
        <v>145</v>
      </c>
      <c r="L148" s="11">
        <v>2.5788888262554179</v>
      </c>
      <c r="M148" s="11">
        <v>-0.27888882625541811</v>
      </c>
    </row>
    <row r="149" spans="11:13" x14ac:dyDescent="0.3">
      <c r="K149">
        <v>146</v>
      </c>
      <c r="L149" s="11">
        <v>1.8303786734010137</v>
      </c>
      <c r="M149" s="11">
        <v>-0.33037867340101368</v>
      </c>
    </row>
    <row r="150" spans="11:13" x14ac:dyDescent="0.3">
      <c r="K150">
        <v>147</v>
      </c>
      <c r="L150" s="11">
        <v>2.9759637856037391</v>
      </c>
      <c r="M150" s="11">
        <v>-1.615963785603739</v>
      </c>
    </row>
    <row r="151" spans="11:13" x14ac:dyDescent="0.3">
      <c r="K151">
        <v>148</v>
      </c>
      <c r="L151" s="11">
        <v>2.1564623043474866</v>
      </c>
      <c r="M151" s="11">
        <v>-0.52646230434748675</v>
      </c>
    </row>
    <row r="152" spans="11:13" x14ac:dyDescent="0.3">
      <c r="K152">
        <v>149</v>
      </c>
      <c r="L152" s="11">
        <v>1.9628501484730183</v>
      </c>
      <c r="M152" s="11">
        <v>-0.23285014847301833</v>
      </c>
    </row>
    <row r="153" spans="11:13" x14ac:dyDescent="0.3">
      <c r="K153">
        <v>150</v>
      </c>
      <c r="L153" s="11">
        <v>1.752563261470605</v>
      </c>
      <c r="M153" s="11">
        <v>0.24743673852939496</v>
      </c>
    </row>
    <row r="154" spans="11:13" x14ac:dyDescent="0.3">
      <c r="K154">
        <v>151</v>
      </c>
      <c r="L154" s="11">
        <v>2.3602645736890322</v>
      </c>
      <c r="M154" s="11">
        <v>0.1397354263109678</v>
      </c>
    </row>
    <row r="155" spans="11:13" x14ac:dyDescent="0.3">
      <c r="K155">
        <v>152</v>
      </c>
      <c r="L155" s="11">
        <v>2.2731854222430989</v>
      </c>
      <c r="M155" s="11">
        <v>-0.27318542224309894</v>
      </c>
    </row>
    <row r="156" spans="11:13" x14ac:dyDescent="0.3">
      <c r="K156">
        <v>153</v>
      </c>
      <c r="L156" s="11">
        <v>2.848124180289497</v>
      </c>
      <c r="M156" s="11">
        <v>-0.10812418028949677</v>
      </c>
    </row>
    <row r="157" spans="11:13" x14ac:dyDescent="0.3">
      <c r="K157">
        <v>154</v>
      </c>
      <c r="L157" s="11">
        <v>3.7157971070264781</v>
      </c>
      <c r="M157" s="11">
        <v>-1.7157971070264781</v>
      </c>
    </row>
    <row r="158" spans="11:13" x14ac:dyDescent="0.3">
      <c r="K158">
        <v>155</v>
      </c>
      <c r="L158" s="11">
        <v>3.2729903581843924</v>
      </c>
      <c r="M158" s="11">
        <v>-1.2729903581843924</v>
      </c>
    </row>
    <row r="159" spans="11:13" x14ac:dyDescent="0.3">
      <c r="K159">
        <v>156</v>
      </c>
      <c r="L159" s="11">
        <v>4.399121617404516</v>
      </c>
      <c r="M159" s="11">
        <v>0.74087838259548366</v>
      </c>
    </row>
    <row r="160" spans="11:13" x14ac:dyDescent="0.3">
      <c r="K160">
        <v>157</v>
      </c>
      <c r="L160" s="11">
        <v>6.2885850127038836</v>
      </c>
      <c r="M160" s="11">
        <v>-1.2885850127038836</v>
      </c>
    </row>
    <row r="161" spans="11:13" x14ac:dyDescent="0.3">
      <c r="K161">
        <v>158</v>
      </c>
      <c r="L161" s="11">
        <v>3.7574839348463396</v>
      </c>
      <c r="M161" s="11">
        <v>-7.4839348463395794E-3</v>
      </c>
    </row>
    <row r="162" spans="11:13" x14ac:dyDescent="0.3">
      <c r="K162">
        <v>159</v>
      </c>
      <c r="L162" s="11">
        <v>2.2972711449834637</v>
      </c>
      <c r="M162" s="11">
        <v>0.31272885501653613</v>
      </c>
    </row>
    <row r="163" spans="11:13" x14ac:dyDescent="0.3">
      <c r="K163">
        <v>160</v>
      </c>
      <c r="L163" s="11">
        <v>2.9691397020751786</v>
      </c>
      <c r="M163" s="11">
        <v>-0.96913970207517863</v>
      </c>
    </row>
    <row r="164" spans="11:13" x14ac:dyDescent="0.3">
      <c r="K164">
        <v>161</v>
      </c>
      <c r="L164" s="11">
        <v>3.4332530518029714</v>
      </c>
      <c r="M164" s="11">
        <v>6.6746948197028644E-2</v>
      </c>
    </row>
    <row r="165" spans="11:13" x14ac:dyDescent="0.3">
      <c r="K165">
        <v>162</v>
      </c>
      <c r="L165" s="11">
        <v>2.2296458465201328</v>
      </c>
      <c r="M165" s="11">
        <v>0.27035415347986724</v>
      </c>
    </row>
    <row r="166" spans="11:13" x14ac:dyDescent="0.3">
      <c r="K166">
        <v>163</v>
      </c>
      <c r="L166" s="11">
        <v>2.7508549153764865</v>
      </c>
      <c r="M166" s="11">
        <v>-0.75085491537648652</v>
      </c>
    </row>
    <row r="167" spans="11:13" x14ac:dyDescent="0.3">
      <c r="K167">
        <v>164</v>
      </c>
      <c r="L167" s="11">
        <v>2.3361788509486678</v>
      </c>
      <c r="M167" s="11">
        <v>-0.33617885094866784</v>
      </c>
    </row>
    <row r="168" spans="11:13" x14ac:dyDescent="0.3">
      <c r="K168">
        <v>165</v>
      </c>
      <c r="L168" s="11">
        <v>2.6789372130230857</v>
      </c>
      <c r="M168" s="11">
        <v>0.32106278697691426</v>
      </c>
    </row>
    <row r="169" spans="11:13" x14ac:dyDescent="0.3">
      <c r="K169">
        <v>166</v>
      </c>
      <c r="L169" s="11">
        <v>3.5206716691165978</v>
      </c>
      <c r="M169" s="11">
        <v>-4.0671669116597808E-2</v>
      </c>
    </row>
    <row r="170" spans="11:13" x14ac:dyDescent="0.3">
      <c r="K170">
        <v>167</v>
      </c>
      <c r="L170" s="11">
        <v>2.9800087472776418</v>
      </c>
      <c r="M170" s="11">
        <v>-0.74000874727764154</v>
      </c>
    </row>
    <row r="171" spans="11:13" x14ac:dyDescent="0.3">
      <c r="K171">
        <v>168</v>
      </c>
      <c r="L171" s="11">
        <v>4.3790808563380548</v>
      </c>
      <c r="M171" s="11">
        <v>0.12091914366194523</v>
      </c>
    </row>
    <row r="172" spans="11:13" x14ac:dyDescent="0.3">
      <c r="K172">
        <v>169</v>
      </c>
      <c r="L172" s="11">
        <v>2.0378864385487692</v>
      </c>
      <c r="M172" s="11">
        <v>-0.42788643854876907</v>
      </c>
    </row>
    <row r="173" spans="11:13" x14ac:dyDescent="0.3">
      <c r="K173">
        <v>170</v>
      </c>
      <c r="L173" s="11">
        <v>2.0415919343549791</v>
      </c>
      <c r="M173" s="11">
        <v>-4.1591934354979099E-2</v>
      </c>
    </row>
    <row r="174" spans="11:13" x14ac:dyDescent="0.3">
      <c r="K174">
        <v>171</v>
      </c>
      <c r="L174" s="11">
        <v>5.956108787748069</v>
      </c>
      <c r="M174" s="11">
        <v>4.043891212251931</v>
      </c>
    </row>
    <row r="175" spans="11:13" x14ac:dyDescent="0.3">
      <c r="K175">
        <v>172</v>
      </c>
      <c r="L175" s="11">
        <v>2.5214536412591642</v>
      </c>
      <c r="M175" s="11">
        <v>0.63854635874083598</v>
      </c>
    </row>
    <row r="176" spans="11:13" x14ac:dyDescent="0.3">
      <c r="K176">
        <v>173</v>
      </c>
      <c r="L176" s="11">
        <v>1.7284775387302407</v>
      </c>
      <c r="M176" s="11">
        <v>3.4215224612697597</v>
      </c>
    </row>
    <row r="177" spans="11:13" x14ac:dyDescent="0.3">
      <c r="K177">
        <v>174</v>
      </c>
      <c r="L177" s="11">
        <v>4.0073574595493424</v>
      </c>
      <c r="M177" s="11">
        <v>-0.82735745954934226</v>
      </c>
    </row>
    <row r="178" spans="11:13" x14ac:dyDescent="0.3">
      <c r="K178">
        <v>175</v>
      </c>
      <c r="L178" s="11">
        <v>2.6150174103659642</v>
      </c>
      <c r="M178" s="11">
        <v>1.3849825896340358</v>
      </c>
    </row>
    <row r="179" spans="11:13" x14ac:dyDescent="0.3">
      <c r="K179">
        <v>176</v>
      </c>
      <c r="L179" s="11">
        <v>4.1046267244623529</v>
      </c>
      <c r="M179" s="11">
        <v>-0.99462672446235301</v>
      </c>
    </row>
    <row r="180" spans="11:13" x14ac:dyDescent="0.3">
      <c r="K180">
        <v>177</v>
      </c>
      <c r="L180" s="11">
        <v>2.7141394231820799</v>
      </c>
      <c r="M180" s="11">
        <v>-0.7141394231820799</v>
      </c>
    </row>
    <row r="181" spans="11:13" x14ac:dyDescent="0.3">
      <c r="K181">
        <v>178</v>
      </c>
      <c r="L181" s="11">
        <v>2.3982459057026841</v>
      </c>
      <c r="M181" s="11">
        <v>-0.39824590570268414</v>
      </c>
    </row>
    <row r="182" spans="11:13" x14ac:dyDescent="0.3">
      <c r="K182">
        <v>179</v>
      </c>
      <c r="L182" s="11">
        <v>1.9461754173450736</v>
      </c>
      <c r="M182" s="11">
        <v>2.0538245826549266</v>
      </c>
    </row>
    <row r="183" spans="11:13" x14ac:dyDescent="0.3">
      <c r="K183">
        <v>180</v>
      </c>
      <c r="L183" s="11">
        <v>4.2648894180809318</v>
      </c>
      <c r="M183" s="11">
        <v>-0.71488941808093198</v>
      </c>
    </row>
    <row r="184" spans="11:13" x14ac:dyDescent="0.3">
      <c r="K184">
        <v>181</v>
      </c>
      <c r="L184" s="11">
        <v>4.651434798094483</v>
      </c>
      <c r="M184" s="11">
        <v>-0.97143479809448285</v>
      </c>
    </row>
    <row r="185" spans="11:13" x14ac:dyDescent="0.3">
      <c r="K185">
        <v>182</v>
      </c>
      <c r="L185" s="11">
        <v>3.2180868528266289</v>
      </c>
      <c r="M185" s="11">
        <v>2.4319131471733715</v>
      </c>
    </row>
    <row r="186" spans="11:13" x14ac:dyDescent="0.3">
      <c r="K186">
        <v>183</v>
      </c>
      <c r="L186" s="11">
        <v>5.4503086102004143</v>
      </c>
      <c r="M186" s="11">
        <v>-1.9503086102004143</v>
      </c>
    </row>
    <row r="187" spans="11:13" x14ac:dyDescent="0.3">
      <c r="K187">
        <v>184</v>
      </c>
      <c r="L187" s="11">
        <v>3.587957501712236</v>
      </c>
      <c r="M187" s="11">
        <v>2.912042498287764</v>
      </c>
    </row>
    <row r="188" spans="11:13" x14ac:dyDescent="0.3">
      <c r="K188">
        <v>185</v>
      </c>
      <c r="L188" s="11">
        <v>4.8133027974000004</v>
      </c>
      <c r="M188" s="11">
        <v>-1.8133027974000004</v>
      </c>
    </row>
    <row r="189" spans="11:13" x14ac:dyDescent="0.3">
      <c r="K189">
        <v>186</v>
      </c>
      <c r="L189" s="11">
        <v>3.5505630777824444</v>
      </c>
      <c r="M189" s="11">
        <v>1.4494369222175556</v>
      </c>
    </row>
    <row r="190" spans="11:13" x14ac:dyDescent="0.3">
      <c r="K190">
        <v>187</v>
      </c>
      <c r="L190" s="11">
        <v>3.1853242986545993</v>
      </c>
      <c r="M190" s="11">
        <v>0.31467570134540068</v>
      </c>
    </row>
    <row r="191" spans="11:13" x14ac:dyDescent="0.3">
      <c r="K191">
        <v>188</v>
      </c>
      <c r="L191" s="11">
        <v>4.4556304284492176</v>
      </c>
      <c r="M191" s="11">
        <v>-2.4556304284492176</v>
      </c>
    </row>
    <row r="192" spans="11:13" x14ac:dyDescent="0.3">
      <c r="K192">
        <v>189</v>
      </c>
      <c r="L192" s="11">
        <v>2.9305714619776673</v>
      </c>
      <c r="M192" s="11">
        <v>0.56942853802233273</v>
      </c>
    </row>
    <row r="193" spans="11:13" x14ac:dyDescent="0.3">
      <c r="K193">
        <v>190</v>
      </c>
      <c r="L193" s="11">
        <v>3.3891265679961453</v>
      </c>
      <c r="M193" s="11">
        <v>0.61087343200385469</v>
      </c>
    </row>
    <row r="194" spans="11:13" x14ac:dyDescent="0.3">
      <c r="K194">
        <v>191</v>
      </c>
      <c r="L194" s="11">
        <v>2.5103371538405339</v>
      </c>
      <c r="M194" s="11">
        <v>-1.0103371538405339</v>
      </c>
    </row>
    <row r="195" spans="11:13" x14ac:dyDescent="0.3">
      <c r="K195">
        <v>192</v>
      </c>
      <c r="L195" s="11">
        <v>2.8920032218801559</v>
      </c>
      <c r="M195" s="11">
        <v>1.2979967781198445</v>
      </c>
    </row>
    <row r="196" spans="11:13" x14ac:dyDescent="0.3">
      <c r="K196">
        <v>193</v>
      </c>
      <c r="L196" s="11">
        <v>3.6914639420699467</v>
      </c>
      <c r="M196" s="11">
        <v>-1.1314639420699466</v>
      </c>
    </row>
    <row r="197" spans="11:13" x14ac:dyDescent="0.3">
      <c r="K197">
        <v>194</v>
      </c>
      <c r="L197" s="11">
        <v>2.4908833008579321</v>
      </c>
      <c r="M197" s="11">
        <v>-0.47088330085793206</v>
      </c>
    </row>
    <row r="198" spans="11:13" x14ac:dyDescent="0.3">
      <c r="K198">
        <v>195</v>
      </c>
      <c r="L198" s="11">
        <v>2.5927844355287046</v>
      </c>
      <c r="M198" s="11">
        <v>1.4072155644712954</v>
      </c>
    </row>
    <row r="199" spans="11:13" x14ac:dyDescent="0.3">
      <c r="K199">
        <v>196</v>
      </c>
      <c r="L199" s="11">
        <v>1.7571951312283676</v>
      </c>
      <c r="M199" s="11">
        <v>-0.31719513122836762</v>
      </c>
    </row>
    <row r="200" spans="11:13" x14ac:dyDescent="0.3">
      <c r="K200">
        <v>197</v>
      </c>
      <c r="L200" s="11">
        <v>2.0147270897599574</v>
      </c>
      <c r="M200" s="11">
        <v>-1.4727089759957401E-2</v>
      </c>
    </row>
    <row r="201" spans="11:13" x14ac:dyDescent="0.3">
      <c r="K201">
        <v>198</v>
      </c>
      <c r="L201" s="11">
        <v>5.4351471611078814</v>
      </c>
      <c r="M201" s="11">
        <v>-0.43514716110788143</v>
      </c>
    </row>
    <row r="202" spans="11:13" x14ac:dyDescent="0.3">
      <c r="K202">
        <v>199</v>
      </c>
      <c r="L202" s="11">
        <v>2.261142560872917</v>
      </c>
      <c r="M202" s="11">
        <v>-0.26114256087291698</v>
      </c>
    </row>
    <row r="203" spans="11:13" x14ac:dyDescent="0.3">
      <c r="K203">
        <v>200</v>
      </c>
      <c r="L203" s="11">
        <v>2.3083876324020931</v>
      </c>
      <c r="M203" s="11">
        <v>-0.3083876324020931</v>
      </c>
    </row>
    <row r="204" spans="11:13" x14ac:dyDescent="0.3">
      <c r="K204">
        <v>201</v>
      </c>
      <c r="L204" s="11">
        <v>2.9824484032646064</v>
      </c>
      <c r="M204" s="11">
        <v>1.0175515967353936</v>
      </c>
    </row>
    <row r="205" spans="11:13" x14ac:dyDescent="0.3">
      <c r="K205">
        <v>202</v>
      </c>
      <c r="L205" s="11">
        <v>2.2370568381325526</v>
      </c>
      <c r="M205" s="11">
        <v>-0.22705683813255284</v>
      </c>
    </row>
    <row r="206" spans="11:13" x14ac:dyDescent="0.3">
      <c r="K206">
        <v>203</v>
      </c>
      <c r="L206" s="11">
        <v>2.5761097044007601</v>
      </c>
      <c r="M206" s="11">
        <v>-7.6109704400760148E-2</v>
      </c>
    </row>
    <row r="207" spans="11:13" x14ac:dyDescent="0.3">
      <c r="K207">
        <v>204</v>
      </c>
      <c r="L207" s="11">
        <v>3.3433947785023812</v>
      </c>
      <c r="M207" s="11">
        <v>0.6566052214976188</v>
      </c>
    </row>
    <row r="208" spans="11:13" x14ac:dyDescent="0.3">
      <c r="K208">
        <v>205</v>
      </c>
      <c r="L208" s="11">
        <v>2.7749406381168509</v>
      </c>
      <c r="M208" s="11">
        <v>0.4550593618831491</v>
      </c>
    </row>
    <row r="209" spans="11:13" x14ac:dyDescent="0.3">
      <c r="K209">
        <v>206</v>
      </c>
      <c r="L209" s="11">
        <v>3.7124310770879605</v>
      </c>
      <c r="M209" s="11">
        <v>-0.30243107708796035</v>
      </c>
    </row>
    <row r="210" spans="11:13" x14ac:dyDescent="0.3">
      <c r="K210">
        <v>207</v>
      </c>
      <c r="L210" s="11">
        <v>5.0293953703278955</v>
      </c>
      <c r="M210" s="11">
        <v>-2.0293953703278955</v>
      </c>
    </row>
    <row r="211" spans="11:13" x14ac:dyDescent="0.3">
      <c r="K211">
        <v>208</v>
      </c>
      <c r="L211" s="11">
        <v>3.3051660042725621</v>
      </c>
      <c r="M211" s="11">
        <v>-1.2751660042725623</v>
      </c>
    </row>
    <row r="212" spans="11:13" x14ac:dyDescent="0.3">
      <c r="K212">
        <v>209</v>
      </c>
      <c r="L212" s="11">
        <v>2.2389095860356574</v>
      </c>
      <c r="M212" s="11">
        <v>-8.9095860356573908E-3</v>
      </c>
    </row>
    <row r="213" spans="11:13" x14ac:dyDescent="0.3">
      <c r="K213">
        <v>210</v>
      </c>
      <c r="L213" s="11">
        <v>4.0338828382766714</v>
      </c>
      <c r="M213" s="11">
        <v>-2.0338828382766714</v>
      </c>
    </row>
    <row r="214" spans="11:13" x14ac:dyDescent="0.3">
      <c r="K214">
        <v>211</v>
      </c>
      <c r="L214" s="11">
        <v>3.8399312165345107</v>
      </c>
      <c r="M214" s="11">
        <v>1.3200687834654894</v>
      </c>
    </row>
    <row r="215" spans="11:13" x14ac:dyDescent="0.3">
      <c r="K215">
        <v>212</v>
      </c>
      <c r="L215" s="11">
        <v>5.9187143638182764</v>
      </c>
      <c r="M215" s="11">
        <v>3.0812856361817236</v>
      </c>
    </row>
    <row r="216" spans="11:13" x14ac:dyDescent="0.3">
      <c r="K216">
        <v>213</v>
      </c>
      <c r="L216" s="11">
        <v>2.2861546575648339</v>
      </c>
      <c r="M216" s="11">
        <v>0.21384534243516606</v>
      </c>
    </row>
    <row r="217" spans="11:13" x14ac:dyDescent="0.3">
      <c r="K217">
        <v>214</v>
      </c>
      <c r="L217" s="11">
        <v>3.8587981614332527</v>
      </c>
      <c r="M217" s="11">
        <v>2.6412018385667473</v>
      </c>
    </row>
    <row r="218" spans="11:13" x14ac:dyDescent="0.3">
      <c r="K218">
        <v>215</v>
      </c>
      <c r="L218" s="11">
        <v>2.2518788213573924</v>
      </c>
      <c r="M218" s="11">
        <v>-1.1518788213573923</v>
      </c>
    </row>
    <row r="219" spans="11:13" x14ac:dyDescent="0.3">
      <c r="K219">
        <v>216</v>
      </c>
      <c r="L219" s="11">
        <v>4.2416380456405944</v>
      </c>
      <c r="M219" s="11">
        <v>-1.2416380456405944</v>
      </c>
    </row>
    <row r="220" spans="11:13" x14ac:dyDescent="0.3">
      <c r="K220">
        <v>217</v>
      </c>
      <c r="L220" s="11">
        <v>2.1305238337040171</v>
      </c>
      <c r="M220" s="11">
        <v>-0.6305238337040171</v>
      </c>
    </row>
    <row r="221" spans="11:13" x14ac:dyDescent="0.3">
      <c r="K221">
        <v>218</v>
      </c>
      <c r="L221" s="11">
        <v>1.7738698623563123</v>
      </c>
      <c r="M221" s="11">
        <v>-0.33386986235631233</v>
      </c>
    </row>
    <row r="222" spans="11:13" x14ac:dyDescent="0.3">
      <c r="K222">
        <v>219</v>
      </c>
      <c r="L222" s="11">
        <v>4.2336401459443147</v>
      </c>
      <c r="M222" s="11">
        <v>-1.1436401459443148</v>
      </c>
    </row>
    <row r="223" spans="11:13" x14ac:dyDescent="0.3">
      <c r="K223">
        <v>220</v>
      </c>
      <c r="L223" s="11">
        <v>2.1833271489425083</v>
      </c>
      <c r="M223" s="11">
        <v>1.6672851057491833E-2</v>
      </c>
    </row>
    <row r="224" spans="11:13" x14ac:dyDescent="0.3">
      <c r="K224">
        <v>221</v>
      </c>
      <c r="L224" s="11">
        <v>2.3000502668381211</v>
      </c>
      <c r="M224" s="11">
        <v>1.1799497331618789</v>
      </c>
    </row>
    <row r="225" spans="11:13" x14ac:dyDescent="0.3">
      <c r="K225">
        <v>222</v>
      </c>
      <c r="L225" s="11">
        <v>1.6593389582314972</v>
      </c>
      <c r="M225" s="11">
        <v>0.26066104176850269</v>
      </c>
    </row>
    <row r="226" spans="11:13" x14ac:dyDescent="0.3">
      <c r="K226">
        <v>223</v>
      </c>
      <c r="L226" s="11">
        <v>2.7295483144907795</v>
      </c>
      <c r="M226" s="11">
        <v>0.2704516855092205</v>
      </c>
    </row>
    <row r="227" spans="11:13" x14ac:dyDescent="0.3">
      <c r="K227">
        <v>224</v>
      </c>
      <c r="L227" s="11">
        <v>2.3000502668381211</v>
      </c>
      <c r="M227" s="11">
        <v>-0.72005026683812101</v>
      </c>
    </row>
    <row r="228" spans="11:13" x14ac:dyDescent="0.3">
      <c r="K228">
        <v>225</v>
      </c>
      <c r="L228" s="11">
        <v>2.5640668430305782</v>
      </c>
      <c r="M228" s="11">
        <v>-6.4066843030578191E-2</v>
      </c>
    </row>
    <row r="229" spans="11:13" x14ac:dyDescent="0.3">
      <c r="K229">
        <v>226</v>
      </c>
      <c r="L229" s="11">
        <v>1.9915677409711452</v>
      </c>
      <c r="M229" s="11">
        <v>8.4322590288548049E-3</v>
      </c>
    </row>
    <row r="230" spans="11:13" x14ac:dyDescent="0.3">
      <c r="K230">
        <v>227</v>
      </c>
      <c r="L230" s="11">
        <v>3.3359837868899609</v>
      </c>
      <c r="M230" s="11">
        <v>-0.33598378688996089</v>
      </c>
    </row>
    <row r="231" spans="11:13" x14ac:dyDescent="0.3">
      <c r="K231">
        <v>228</v>
      </c>
      <c r="L231" s="11">
        <v>2.2870810315163865</v>
      </c>
      <c r="M231" s="11">
        <v>0.43291896848361366</v>
      </c>
    </row>
    <row r="232" spans="11:13" x14ac:dyDescent="0.3">
      <c r="K232">
        <v>229</v>
      </c>
      <c r="L232" s="11">
        <v>3.1059956046887791</v>
      </c>
      <c r="M232" s="11">
        <v>-0.22599560468877922</v>
      </c>
    </row>
    <row r="233" spans="11:13" x14ac:dyDescent="0.3">
      <c r="K233">
        <v>230</v>
      </c>
      <c r="L233" s="11">
        <v>3.6657729136426442</v>
      </c>
      <c r="M233" s="11">
        <v>-1.6657729136426442</v>
      </c>
    </row>
    <row r="234" spans="11:13" x14ac:dyDescent="0.3">
      <c r="K234">
        <v>231</v>
      </c>
      <c r="L234" s="11">
        <v>2.7026834698957574</v>
      </c>
      <c r="M234" s="11">
        <v>0.29731653010424303</v>
      </c>
    </row>
    <row r="235" spans="11:13" x14ac:dyDescent="0.3">
      <c r="K235">
        <v>232</v>
      </c>
      <c r="L235" s="11">
        <v>2.1323765816071223</v>
      </c>
      <c r="M235" s="11">
        <v>1.2576234183928778</v>
      </c>
    </row>
    <row r="236" spans="11:13" x14ac:dyDescent="0.3">
      <c r="K236">
        <v>233</v>
      </c>
      <c r="L236" s="11">
        <v>2.0545611696767137</v>
      </c>
      <c r="M236" s="11">
        <v>-0.58456116967671368</v>
      </c>
    </row>
    <row r="237" spans="11:13" x14ac:dyDescent="0.3">
      <c r="K237">
        <v>234</v>
      </c>
      <c r="L237" s="11">
        <v>2.4955151706156942</v>
      </c>
      <c r="M237" s="11">
        <v>0.50448482938430583</v>
      </c>
    </row>
    <row r="238" spans="11:13" x14ac:dyDescent="0.3">
      <c r="K238">
        <v>235</v>
      </c>
      <c r="L238" s="11">
        <v>1.9897149930680402</v>
      </c>
      <c r="M238" s="11">
        <v>-0.73971499306804023</v>
      </c>
    </row>
    <row r="239" spans="11:13" x14ac:dyDescent="0.3">
      <c r="K239">
        <v>236</v>
      </c>
      <c r="L239" s="11">
        <v>2.2240876028108176</v>
      </c>
      <c r="M239" s="11">
        <v>-1.2240876028108176</v>
      </c>
    </row>
    <row r="240" spans="11:13" x14ac:dyDescent="0.3">
      <c r="K240">
        <v>237</v>
      </c>
      <c r="L240" s="11">
        <v>4.0981421068014852</v>
      </c>
      <c r="M240" s="11">
        <v>-2.9281421068014852</v>
      </c>
    </row>
    <row r="241" spans="11:13" x14ac:dyDescent="0.3">
      <c r="K241">
        <v>238</v>
      </c>
      <c r="L241" s="11">
        <v>4.5684006083224524</v>
      </c>
      <c r="M241" s="11">
        <v>0.1015993916775475</v>
      </c>
    </row>
    <row r="242" spans="11:13" x14ac:dyDescent="0.3">
      <c r="K242">
        <v>239</v>
      </c>
      <c r="L242" s="11">
        <v>3.9384663212667661</v>
      </c>
      <c r="M242" s="11">
        <v>1.9815336787332338</v>
      </c>
    </row>
    <row r="243" spans="11:13" x14ac:dyDescent="0.3">
      <c r="K243">
        <v>240</v>
      </c>
      <c r="L243" s="11">
        <v>3.5747408241743339</v>
      </c>
      <c r="M243" s="11">
        <v>-1.5747408241743339</v>
      </c>
    </row>
    <row r="244" spans="11:13" x14ac:dyDescent="0.3">
      <c r="K244">
        <v>241</v>
      </c>
      <c r="L244">
        <v>3.1569461720241656</v>
      </c>
      <c r="M244">
        <v>-1.1569461720241656</v>
      </c>
    </row>
    <row r="245" spans="11:13" x14ac:dyDescent="0.3">
      <c r="K245">
        <v>242</v>
      </c>
      <c r="L245">
        <v>2.7076548055212122</v>
      </c>
      <c r="M245">
        <v>-0.95765480552121218</v>
      </c>
    </row>
    <row r="246" spans="11:13" ht="15" thickBot="1" x14ac:dyDescent="0.35">
      <c r="K246" s="16">
        <v>243</v>
      </c>
      <c r="L246" s="16">
        <v>2.7965867048702506</v>
      </c>
      <c r="M246" s="16">
        <v>0.20341329512974937</v>
      </c>
    </row>
    <row r="288" spans="6:6" ht="15" thickBot="1" x14ac:dyDescent="0.35">
      <c r="F288" s="16"/>
    </row>
    <row r="292" spans="5:5" ht="15" thickBot="1" x14ac:dyDescent="0.35">
      <c r="E292" s="16"/>
    </row>
  </sheetData>
  <sortState xmlns:xlrd2="http://schemas.microsoft.com/office/spreadsheetml/2017/richdata2" ref="F46:F288">
    <sortCondition ref="F46"/>
  </sortState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087E45-6B53-4BA7-9913-2A573DB0D323}">
  <dimension ref="A1:L344"/>
  <sheetViews>
    <sheetView topLeftCell="A18" zoomScale="94" zoomScaleNormal="94" workbookViewId="0">
      <selection activeCell="K9" sqref="K9"/>
    </sheetView>
  </sheetViews>
  <sheetFormatPr defaultRowHeight="14.4" x14ac:dyDescent="0.3"/>
  <cols>
    <col min="1" max="1" width="25.44140625" bestFit="1" customWidth="1"/>
    <col min="10" max="10" width="16.77734375" bestFit="1" customWidth="1"/>
    <col min="11" max="11" width="12.77734375" bestFit="1" customWidth="1"/>
    <col min="12" max="12" width="13.44140625" bestFit="1" customWidth="1"/>
  </cols>
  <sheetData>
    <row r="1" spans="1:12" ht="21" x14ac:dyDescent="0.3">
      <c r="A1" s="20" t="s">
        <v>144</v>
      </c>
      <c r="J1" t="s">
        <v>322</v>
      </c>
    </row>
    <row r="2" spans="1:12" ht="15" thickBot="1" x14ac:dyDescent="0.35"/>
    <row r="3" spans="1:12" ht="18" x14ac:dyDescent="0.35">
      <c r="A3" s="14" t="s">
        <v>145</v>
      </c>
      <c r="J3" s="17" t="s">
        <v>323</v>
      </c>
      <c r="K3" s="17" t="s">
        <v>324</v>
      </c>
      <c r="L3" s="17" t="s">
        <v>325</v>
      </c>
    </row>
    <row r="4" spans="1:12" x14ac:dyDescent="0.3">
      <c r="J4">
        <v>1</v>
      </c>
      <c r="K4" s="11">
        <v>2.6307657675423561</v>
      </c>
      <c r="L4" s="11">
        <v>-1.6207657675423561</v>
      </c>
    </row>
    <row r="5" spans="1:12" x14ac:dyDescent="0.3">
      <c r="A5" t="s">
        <v>152</v>
      </c>
      <c r="J5">
        <v>2</v>
      </c>
      <c r="K5" s="11">
        <v>2.2070734058151804</v>
      </c>
      <c r="L5" s="11">
        <v>-0.54707340581518049</v>
      </c>
    </row>
    <row r="6" spans="1:12" ht="15" thickBot="1" x14ac:dyDescent="0.35">
      <c r="J6">
        <v>3</v>
      </c>
      <c r="K6" s="11">
        <v>3.195514412121677</v>
      </c>
      <c r="L6" s="11">
        <v>0.30448558787832303</v>
      </c>
    </row>
    <row r="7" spans="1:12" x14ac:dyDescent="0.3">
      <c r="A7" s="25" t="s">
        <v>153</v>
      </c>
      <c r="B7" s="25"/>
      <c r="J7">
        <v>4</v>
      </c>
      <c r="K7" s="11">
        <v>3.2505099411309657</v>
      </c>
      <c r="L7" s="11">
        <v>5.9490058869034357E-2</v>
      </c>
    </row>
    <row r="8" spans="1:12" x14ac:dyDescent="0.3">
      <c r="A8" t="s">
        <v>154</v>
      </c>
      <c r="B8">
        <v>0.68327752327495828</v>
      </c>
      <c r="J8">
        <v>5</v>
      </c>
      <c r="K8" s="11">
        <v>3.7195026028326881</v>
      </c>
      <c r="L8" s="11">
        <v>-0.1095026028326882</v>
      </c>
    </row>
    <row r="9" spans="1:12" x14ac:dyDescent="0.3">
      <c r="A9" t="s">
        <v>155</v>
      </c>
      <c r="B9">
        <v>0.46686817381276113</v>
      </c>
      <c r="J9">
        <v>6</v>
      </c>
      <c r="K9" s="11">
        <v>3.7843487794413617</v>
      </c>
      <c r="L9" s="11">
        <v>0.92565122055863824</v>
      </c>
    </row>
    <row r="10" spans="1:12" x14ac:dyDescent="0.3">
      <c r="A10" t="s">
        <v>156</v>
      </c>
      <c r="B10">
        <v>0.46242540859453413</v>
      </c>
      <c r="J10">
        <v>7</v>
      </c>
      <c r="K10" s="11">
        <v>1.8692863793662178</v>
      </c>
      <c r="L10" s="11">
        <v>0.13071362063378222</v>
      </c>
    </row>
    <row r="11" spans="1:12" x14ac:dyDescent="0.3">
      <c r="A11" t="s">
        <v>157</v>
      </c>
      <c r="B11">
        <v>1.0154762696404789</v>
      </c>
      <c r="J11">
        <v>8</v>
      </c>
      <c r="K11" s="11">
        <v>3.9316422377382061</v>
      </c>
      <c r="L11" s="11">
        <v>-0.81164223773820598</v>
      </c>
    </row>
    <row r="12" spans="1:12" ht="15" thickBot="1" x14ac:dyDescent="0.35">
      <c r="A12" s="16" t="s">
        <v>78</v>
      </c>
      <c r="B12" s="16">
        <v>243</v>
      </c>
      <c r="J12">
        <v>9</v>
      </c>
      <c r="K12" s="11">
        <v>2.4501228469896228</v>
      </c>
      <c r="L12" s="11">
        <v>-0.49012284698962283</v>
      </c>
    </row>
    <row r="13" spans="1:12" x14ac:dyDescent="0.3">
      <c r="J13">
        <v>10</v>
      </c>
      <c r="K13" s="11">
        <v>2.4260371242492584</v>
      </c>
      <c r="L13" s="11">
        <v>0.80396287575074155</v>
      </c>
    </row>
    <row r="14" spans="1:12" ht="15" thickBot="1" x14ac:dyDescent="0.35">
      <c r="A14" t="s">
        <v>158</v>
      </c>
      <c r="J14">
        <v>11</v>
      </c>
      <c r="K14" s="11">
        <v>2.0082424720990897</v>
      </c>
      <c r="L14" s="11">
        <v>-0.29824247209908972</v>
      </c>
    </row>
    <row r="15" spans="1:12" x14ac:dyDescent="0.3">
      <c r="A15" s="17"/>
      <c r="B15" s="17" t="s">
        <v>80</v>
      </c>
      <c r="C15" s="17" t="s">
        <v>163</v>
      </c>
      <c r="D15" s="17" t="s">
        <v>164</v>
      </c>
      <c r="E15" s="17" t="s">
        <v>165</v>
      </c>
      <c r="F15" s="17" t="s">
        <v>166</v>
      </c>
      <c r="J15">
        <v>12</v>
      </c>
      <c r="K15" s="11">
        <v>4.7079436091391846</v>
      </c>
      <c r="L15" s="11">
        <v>0.29205639086081536</v>
      </c>
    </row>
    <row r="16" spans="1:12" x14ac:dyDescent="0.3">
      <c r="A16" t="s">
        <v>159</v>
      </c>
      <c r="B16">
        <v>2</v>
      </c>
      <c r="C16">
        <v>216.72572262915389</v>
      </c>
      <c r="D16">
        <v>108.36286131457695</v>
      </c>
      <c r="E16">
        <v>105.08504295869092</v>
      </c>
      <c r="F16">
        <v>1.6601720854756868E-33</v>
      </c>
      <c r="J16">
        <v>13</v>
      </c>
      <c r="K16" s="11">
        <v>2.485325057148617</v>
      </c>
      <c r="L16" s="11">
        <v>-0.91532505714861689</v>
      </c>
    </row>
    <row r="17" spans="1:12" x14ac:dyDescent="0.3">
      <c r="A17" t="s">
        <v>160</v>
      </c>
      <c r="B17">
        <v>240</v>
      </c>
      <c r="C17">
        <v>247.48609300870618</v>
      </c>
      <c r="D17">
        <v>1.0311920542029425</v>
      </c>
      <c r="J17">
        <v>14</v>
      </c>
      <c r="K17" s="11">
        <v>3.1488562486763603</v>
      </c>
      <c r="L17" s="11">
        <v>-0.14885624867636027</v>
      </c>
    </row>
    <row r="18" spans="1:12" ht="15" thickBot="1" x14ac:dyDescent="0.35">
      <c r="A18" s="16" t="s">
        <v>161</v>
      </c>
      <c r="B18" s="16">
        <v>242</v>
      </c>
      <c r="C18" s="16">
        <v>464.21181563786007</v>
      </c>
      <c r="D18" s="16"/>
      <c r="E18" s="16"/>
      <c r="F18" s="16"/>
      <c r="J18">
        <v>15</v>
      </c>
      <c r="K18" s="11">
        <v>2.4306689940070205</v>
      </c>
      <c r="L18" s="11">
        <v>0.5893310059929795</v>
      </c>
    </row>
    <row r="19" spans="1:12" ht="15" thickBot="1" x14ac:dyDescent="0.35">
      <c r="J19">
        <v>16</v>
      </c>
      <c r="K19" s="11">
        <v>3.0559714113049452</v>
      </c>
      <c r="L19" s="11">
        <v>0.86402858869505472</v>
      </c>
    </row>
    <row r="20" spans="1:12" x14ac:dyDescent="0.3">
      <c r="A20" s="17"/>
      <c r="B20" s="17" t="s">
        <v>167</v>
      </c>
      <c r="C20" s="17" t="s">
        <v>157</v>
      </c>
      <c r="D20" s="17" t="s">
        <v>81</v>
      </c>
      <c r="E20" s="17" t="s">
        <v>168</v>
      </c>
      <c r="F20" s="17" t="s">
        <v>169</v>
      </c>
      <c r="G20" s="17" t="s">
        <v>170</v>
      </c>
      <c r="H20" s="17" t="s">
        <v>171</v>
      </c>
      <c r="I20" s="17" t="s">
        <v>172</v>
      </c>
      <c r="J20">
        <v>17</v>
      </c>
      <c r="K20" s="11">
        <v>2.2061470318636278</v>
      </c>
      <c r="L20" s="11">
        <v>-0.53614703186362789</v>
      </c>
    </row>
    <row r="21" spans="1:12" x14ac:dyDescent="0.3">
      <c r="A21" t="s">
        <v>162</v>
      </c>
      <c r="B21">
        <v>0.67216379174424579</v>
      </c>
      <c r="C21">
        <v>0.19439185206207485</v>
      </c>
      <c r="D21">
        <v>3.4577776003163176</v>
      </c>
      <c r="E21">
        <v>6.4418197739886938E-4</v>
      </c>
      <c r="F21">
        <v>0.28923174208898639</v>
      </c>
      <c r="G21">
        <v>1.0550958413995053</v>
      </c>
      <c r="H21">
        <v>0.28923174208898639</v>
      </c>
      <c r="I21">
        <v>1.0550958413995053</v>
      </c>
      <c r="J21">
        <v>18</v>
      </c>
      <c r="K21" s="11">
        <v>2.7582659069889059</v>
      </c>
      <c r="L21" s="11">
        <v>0.95173409301109402</v>
      </c>
    </row>
    <row r="22" spans="1:12" x14ac:dyDescent="0.3">
      <c r="A22" t="s">
        <v>4</v>
      </c>
      <c r="B22">
        <v>0.19234631605522332</v>
      </c>
      <c r="C22">
        <v>8.548604287998475E-2</v>
      </c>
      <c r="D22">
        <v>2.2500318130909562</v>
      </c>
      <c r="E22">
        <v>2.5353508519236206E-2</v>
      </c>
      <c r="F22">
        <v>2.3947562353876684E-2</v>
      </c>
      <c r="G22">
        <v>0.36074506975656995</v>
      </c>
      <c r="H22">
        <v>2.3947562353876684E-2</v>
      </c>
      <c r="I22">
        <v>0.36074506975656995</v>
      </c>
      <c r="J22">
        <v>19</v>
      </c>
      <c r="K22" s="11">
        <v>2.8212593356944748</v>
      </c>
      <c r="L22" s="11">
        <v>0.67874066430552515</v>
      </c>
    </row>
    <row r="23" spans="1:12" ht="15" thickBot="1" x14ac:dyDescent="0.35">
      <c r="A23" s="16" t="s">
        <v>5</v>
      </c>
      <c r="B23" s="16">
        <v>9.2637395155248034E-2</v>
      </c>
      <c r="C23" s="16">
        <v>9.1372069203435671E-3</v>
      </c>
      <c r="D23" s="16">
        <v>10.138480606036749</v>
      </c>
      <c r="E23" s="16">
        <v>2.4602758705504625E-20</v>
      </c>
      <c r="F23" s="16">
        <v>7.4638032851656863E-2</v>
      </c>
      <c r="G23" s="16">
        <v>0.1106367574588392</v>
      </c>
      <c r="H23" s="16">
        <v>7.4638032851656863E-2</v>
      </c>
      <c r="I23" s="16">
        <v>0.1106367574588392</v>
      </c>
      <c r="J23">
        <v>20</v>
      </c>
      <c r="K23" s="11">
        <v>3.1621649498657876</v>
      </c>
      <c r="L23" s="11">
        <v>0.18783505013421253</v>
      </c>
    </row>
    <row r="24" spans="1:12" x14ac:dyDescent="0.3">
      <c r="J24">
        <v>21</v>
      </c>
      <c r="K24" s="11">
        <v>2.7169185450367372</v>
      </c>
      <c r="L24" s="11">
        <v>1.3630814549632628</v>
      </c>
    </row>
    <row r="25" spans="1:12" x14ac:dyDescent="0.3">
      <c r="A25" t="s">
        <v>279</v>
      </c>
      <c r="B25">
        <v>0.46689999999999998</v>
      </c>
      <c r="J25">
        <v>22</v>
      </c>
      <c r="K25" s="11">
        <v>2.9364691715546751</v>
      </c>
      <c r="L25" s="11">
        <v>-0.18646917155467513</v>
      </c>
    </row>
    <row r="26" spans="1:12" x14ac:dyDescent="0.3">
      <c r="A26" t="s">
        <v>269</v>
      </c>
      <c r="B26">
        <v>0.46239999999999998</v>
      </c>
      <c r="J26">
        <v>23</v>
      </c>
      <c r="K26" s="11">
        <v>2.5177481454529538</v>
      </c>
      <c r="L26" s="11">
        <v>-0.2877481454529538</v>
      </c>
    </row>
    <row r="27" spans="1:12" x14ac:dyDescent="0.3">
      <c r="A27" s="36" t="s">
        <v>357</v>
      </c>
      <c r="J27">
        <v>24</v>
      </c>
      <c r="K27" s="11">
        <v>5.093315172985017</v>
      </c>
      <c r="L27" s="11">
        <v>2.4866848270149831</v>
      </c>
    </row>
    <row r="28" spans="1:12" x14ac:dyDescent="0.3">
      <c r="A28" s="36" t="s">
        <v>358</v>
      </c>
      <c r="J28">
        <v>25</v>
      </c>
      <c r="K28" s="11">
        <v>2.8929295958317085</v>
      </c>
      <c r="L28" s="11">
        <v>0.28707040416829166</v>
      </c>
    </row>
    <row r="29" spans="1:12" ht="21" x14ac:dyDescent="0.4">
      <c r="A29" s="33" t="s">
        <v>346</v>
      </c>
      <c r="J29">
        <v>26</v>
      </c>
      <c r="K29" s="11">
        <v>3.0914210636801061</v>
      </c>
      <c r="L29" s="11">
        <v>-0.75142106368010619</v>
      </c>
    </row>
    <row r="30" spans="1:12" x14ac:dyDescent="0.3">
      <c r="A30" t="s">
        <v>362</v>
      </c>
      <c r="B30">
        <f>B25-B26</f>
        <v>4.500000000000004E-3</v>
      </c>
      <c r="J30">
        <v>27</v>
      </c>
      <c r="K30" s="11">
        <v>2.2954183970803586</v>
      </c>
      <c r="L30" s="11">
        <v>-0.29541839708035855</v>
      </c>
    </row>
    <row r="31" spans="1:12" x14ac:dyDescent="0.3">
      <c r="A31" t="s">
        <v>348</v>
      </c>
      <c r="J31">
        <v>28</v>
      </c>
      <c r="K31" s="11">
        <v>2.2324249683747901</v>
      </c>
      <c r="L31" s="11">
        <v>-0.2324249683747901</v>
      </c>
    </row>
    <row r="32" spans="1:12" x14ac:dyDescent="0.3">
      <c r="A32" t="s">
        <v>270</v>
      </c>
      <c r="B32">
        <v>1.01</v>
      </c>
      <c r="J32">
        <v>29</v>
      </c>
      <c r="K32" s="11">
        <v>3.0670878987235746</v>
      </c>
      <c r="L32" s="11">
        <v>1.2329121012764253</v>
      </c>
    </row>
    <row r="33" spans="1:12" x14ac:dyDescent="0.3">
      <c r="A33" t="s">
        <v>356</v>
      </c>
      <c r="B33">
        <f>SQRT(C17/B12)</f>
        <v>1.0091884304240073</v>
      </c>
      <c r="J33">
        <v>30</v>
      </c>
      <c r="K33" s="11">
        <v>2.8771812386553162</v>
      </c>
      <c r="L33" s="11">
        <v>0.12281876134468384</v>
      </c>
    </row>
    <row r="34" spans="1:12" x14ac:dyDescent="0.3">
      <c r="A34" s="36" t="s">
        <v>359</v>
      </c>
      <c r="J34">
        <v>31</v>
      </c>
      <c r="K34" s="11">
        <v>1.9415435475873113</v>
      </c>
      <c r="L34" s="11">
        <v>-0.49154354758731134</v>
      </c>
    </row>
    <row r="35" spans="1:12" x14ac:dyDescent="0.3">
      <c r="A35" s="36" t="s">
        <v>360</v>
      </c>
      <c r="J35">
        <v>32</v>
      </c>
      <c r="K35" s="11">
        <v>3.1414452570639404</v>
      </c>
      <c r="L35" s="11">
        <v>-0.6414452570639404</v>
      </c>
    </row>
    <row r="36" spans="1:12" x14ac:dyDescent="0.3">
      <c r="A36" t="s">
        <v>285</v>
      </c>
      <c r="B36">
        <v>0.67200000000000004</v>
      </c>
      <c r="J36">
        <v>33</v>
      </c>
      <c r="K36" s="11">
        <v>2.451975594892728</v>
      </c>
      <c r="L36" s="11">
        <v>0.54802440510727202</v>
      </c>
    </row>
    <row r="37" spans="1:12" x14ac:dyDescent="0.3">
      <c r="A37" t="s">
        <v>280</v>
      </c>
      <c r="J37">
        <v>34</v>
      </c>
      <c r="K37" s="11">
        <v>3.3582167617272209</v>
      </c>
      <c r="L37" s="11">
        <v>-0.90821676172722077</v>
      </c>
    </row>
    <row r="38" spans="1:12" x14ac:dyDescent="0.3">
      <c r="A38" s="36" t="s">
        <v>281</v>
      </c>
      <c r="J38">
        <v>35</v>
      </c>
      <c r="K38" s="11">
        <v>2.7039493097150027</v>
      </c>
      <c r="L38" s="11">
        <v>0.56605069028499733</v>
      </c>
    </row>
    <row r="39" spans="1:12" x14ac:dyDescent="0.3">
      <c r="A39" t="s">
        <v>166</v>
      </c>
      <c r="B39" t="s">
        <v>282</v>
      </c>
      <c r="J39">
        <v>36</v>
      </c>
      <c r="K39" s="11">
        <v>3.4780584673451829</v>
      </c>
      <c r="L39" s="11">
        <v>0.12194153265481722</v>
      </c>
    </row>
    <row r="40" spans="1:12" x14ac:dyDescent="0.3">
      <c r="A40" s="36" t="s">
        <v>273</v>
      </c>
      <c r="J40">
        <v>37</v>
      </c>
      <c r="K40" s="11">
        <v>2.7601186548920111</v>
      </c>
      <c r="L40" s="11">
        <v>-0.76011865489201114</v>
      </c>
    </row>
    <row r="41" spans="1:12" x14ac:dyDescent="0.3">
      <c r="A41" t="s">
        <v>283</v>
      </c>
      <c r="B41">
        <v>10.14</v>
      </c>
      <c r="C41" t="s">
        <v>274</v>
      </c>
      <c r="J41">
        <v>38</v>
      </c>
      <c r="K41" s="11">
        <v>2.8175538398882649</v>
      </c>
      <c r="L41" s="11">
        <v>0.25244616011173493</v>
      </c>
    </row>
    <row r="42" spans="1:12" x14ac:dyDescent="0.3">
      <c r="A42" s="36" t="s">
        <v>275</v>
      </c>
      <c r="J42">
        <v>39</v>
      </c>
      <c r="K42" s="11">
        <v>2.9805956553615016</v>
      </c>
      <c r="L42" s="11">
        <v>-0.67059565536150156</v>
      </c>
    </row>
    <row r="43" spans="1:12" x14ac:dyDescent="0.3">
      <c r="A43" t="s">
        <v>284</v>
      </c>
      <c r="B43">
        <v>2.25</v>
      </c>
      <c r="C43" t="s">
        <v>274</v>
      </c>
      <c r="J43">
        <v>40</v>
      </c>
      <c r="K43" s="11">
        <v>4.1459740864145216</v>
      </c>
      <c r="L43" s="11">
        <v>0.85402591358547841</v>
      </c>
    </row>
    <row r="44" spans="1:12" x14ac:dyDescent="0.3">
      <c r="A44" s="36" t="s">
        <v>361</v>
      </c>
      <c r="J44">
        <v>41</v>
      </c>
      <c r="K44" s="11">
        <v>2.7351065582000942</v>
      </c>
      <c r="L44" s="11">
        <v>-0.49510655820009397</v>
      </c>
    </row>
    <row r="45" spans="1:12" x14ac:dyDescent="0.3">
      <c r="J45">
        <v>42</v>
      </c>
      <c r="K45" s="11">
        <v>2.6743053432653232</v>
      </c>
      <c r="L45" s="11">
        <v>-0.13430534326532317</v>
      </c>
    </row>
    <row r="46" spans="1:12" ht="21" x14ac:dyDescent="0.4">
      <c r="A46" s="19" t="s">
        <v>286</v>
      </c>
      <c r="F46" s="33"/>
      <c r="J46">
        <v>43</v>
      </c>
      <c r="K46" s="11">
        <v>2.3482217123188498</v>
      </c>
      <c r="L46" s="11">
        <v>0.71177828768115026</v>
      </c>
    </row>
    <row r="47" spans="1:12" ht="21" x14ac:dyDescent="0.4">
      <c r="C47" s="33" t="s">
        <v>287</v>
      </c>
      <c r="D47" s="33"/>
      <c r="E47" s="33"/>
      <c r="J47">
        <v>44</v>
      </c>
      <c r="K47" s="11">
        <v>1.9535864089574935</v>
      </c>
      <c r="L47" s="11">
        <v>-0.63358640895749341</v>
      </c>
    </row>
    <row r="48" spans="1:12" ht="21" x14ac:dyDescent="0.4">
      <c r="A48" s="33" t="s">
        <v>366</v>
      </c>
      <c r="J48">
        <v>45</v>
      </c>
      <c r="K48" s="11">
        <v>4.2577258686846786</v>
      </c>
      <c r="L48" s="11">
        <v>1.342274131315321</v>
      </c>
    </row>
    <row r="49" spans="1:12" ht="18" x14ac:dyDescent="0.35">
      <c r="A49" s="19" t="s">
        <v>363</v>
      </c>
      <c r="J49">
        <v>46</v>
      </c>
      <c r="K49" s="11">
        <v>2.7511943812441793</v>
      </c>
      <c r="L49" s="11">
        <v>0.24880561875582075</v>
      </c>
    </row>
    <row r="50" spans="1:12" ht="18" x14ac:dyDescent="0.35">
      <c r="A50" s="19" t="s">
        <v>364</v>
      </c>
      <c r="J50">
        <v>47</v>
      </c>
      <c r="K50" s="11">
        <v>3.1161857181558563</v>
      </c>
      <c r="L50" s="11">
        <v>1.8838142818441437</v>
      </c>
    </row>
    <row r="51" spans="1:12" x14ac:dyDescent="0.3">
      <c r="J51">
        <v>48</v>
      </c>
      <c r="K51" s="11">
        <v>4.4430006589951745</v>
      </c>
      <c r="L51" s="11">
        <v>1.5569993410048255</v>
      </c>
    </row>
    <row r="52" spans="1:12" ht="21" x14ac:dyDescent="0.4">
      <c r="A52" s="33" t="s">
        <v>365</v>
      </c>
      <c r="J52">
        <v>49</v>
      </c>
      <c r="K52" s="11">
        <v>3.8940003715922469</v>
      </c>
      <c r="L52" s="11">
        <v>-1.8440003715922471</v>
      </c>
    </row>
    <row r="53" spans="1:12" ht="18" x14ac:dyDescent="0.35">
      <c r="A53" s="19" t="s">
        <v>353</v>
      </c>
      <c r="J53">
        <v>50</v>
      </c>
      <c r="K53" s="11">
        <v>2.7280350324553666</v>
      </c>
      <c r="L53" s="11">
        <v>0.2719649675446334</v>
      </c>
    </row>
    <row r="54" spans="1:12" x14ac:dyDescent="0.3">
      <c r="J54">
        <v>51</v>
      </c>
      <c r="K54" s="11">
        <v>2.2185293591015025</v>
      </c>
      <c r="L54" s="11">
        <v>0.28147064089849749</v>
      </c>
    </row>
    <row r="55" spans="1:12" x14ac:dyDescent="0.3">
      <c r="J55">
        <v>52</v>
      </c>
      <c r="K55" s="11">
        <v>2.0100952200021949</v>
      </c>
      <c r="L55" s="11">
        <v>0.58990477999780522</v>
      </c>
    </row>
    <row r="56" spans="1:12" x14ac:dyDescent="0.3">
      <c r="J56">
        <v>53</v>
      </c>
      <c r="K56" s="11">
        <v>4.6662567813193228</v>
      </c>
      <c r="L56" s="11">
        <v>0.53374321868067742</v>
      </c>
    </row>
    <row r="57" spans="1:12" x14ac:dyDescent="0.3">
      <c r="J57">
        <v>54</v>
      </c>
      <c r="K57" s="11">
        <v>1.977672131697858</v>
      </c>
      <c r="L57" s="11">
        <v>-0.417672131697858</v>
      </c>
    </row>
    <row r="58" spans="1:12" x14ac:dyDescent="0.3">
      <c r="J58">
        <v>55</v>
      </c>
      <c r="K58" s="11">
        <v>3.8093608761332787</v>
      </c>
      <c r="L58" s="11">
        <v>0.53063912386672119</v>
      </c>
    </row>
    <row r="59" spans="1:12" x14ac:dyDescent="0.3">
      <c r="J59">
        <v>56</v>
      </c>
      <c r="K59" s="11">
        <v>2.8623592554304764</v>
      </c>
      <c r="L59" s="11">
        <v>0.64764074456952336</v>
      </c>
    </row>
    <row r="60" spans="1:12" x14ac:dyDescent="0.3">
      <c r="J60">
        <v>57</v>
      </c>
      <c r="K60" s="11">
        <v>4.9626964458161167</v>
      </c>
      <c r="L60" s="11">
        <v>-1.9626964458161167</v>
      </c>
    </row>
    <row r="61" spans="1:12" x14ac:dyDescent="0.3">
      <c r="J61">
        <v>58</v>
      </c>
      <c r="K61" s="11">
        <v>3.503410029904793</v>
      </c>
      <c r="L61" s="11">
        <v>-2.003410029904793</v>
      </c>
    </row>
    <row r="62" spans="1:12" x14ac:dyDescent="0.3">
      <c r="J62">
        <v>59</v>
      </c>
      <c r="K62" s="11">
        <v>2.0981007453996803</v>
      </c>
      <c r="L62" s="11">
        <v>-0.33810074539968027</v>
      </c>
    </row>
    <row r="63" spans="1:12" x14ac:dyDescent="0.3">
      <c r="J63">
        <v>60</v>
      </c>
      <c r="K63" s="11">
        <v>5.9131561201089617</v>
      </c>
      <c r="L63" s="11">
        <v>0.81684387989103868</v>
      </c>
    </row>
    <row r="64" spans="1:12" x14ac:dyDescent="0.3">
      <c r="J64">
        <v>61</v>
      </c>
      <c r="K64" s="11">
        <v>2.9364691715546751</v>
      </c>
      <c r="L64" s="11">
        <v>0.27353082844532484</v>
      </c>
    </row>
    <row r="65" spans="1:12" x14ac:dyDescent="0.3">
      <c r="J65">
        <v>62</v>
      </c>
      <c r="K65" s="11">
        <v>2.3361788509486678</v>
      </c>
      <c r="L65" s="11">
        <v>-0.33617885094866784</v>
      </c>
    </row>
    <row r="66" spans="1:12" x14ac:dyDescent="0.3">
      <c r="J66">
        <v>63</v>
      </c>
      <c r="K66" s="11">
        <v>2.0777205184655259</v>
      </c>
      <c r="L66" s="11">
        <v>-9.7720518465525874E-2</v>
      </c>
    </row>
    <row r="67" spans="1:12" x14ac:dyDescent="0.3">
      <c r="J67">
        <v>64</v>
      </c>
      <c r="K67" s="11">
        <v>3.1358870133546253</v>
      </c>
      <c r="L67" s="11">
        <v>0.62411298664537451</v>
      </c>
    </row>
    <row r="68" spans="1:12" x14ac:dyDescent="0.3">
      <c r="J68">
        <v>65</v>
      </c>
      <c r="K68" s="11">
        <v>2.8786945206907286</v>
      </c>
      <c r="L68" s="11">
        <v>-0.2386945206907285</v>
      </c>
    </row>
    <row r="69" spans="1:12" x14ac:dyDescent="0.3">
      <c r="J69">
        <v>66</v>
      </c>
      <c r="K69" s="11">
        <v>3.1093616346272963</v>
      </c>
      <c r="L69" s="11">
        <v>4.06383653727036E-2</v>
      </c>
    </row>
    <row r="70" spans="1:12" x14ac:dyDescent="0.3">
      <c r="J70">
        <v>67</v>
      </c>
      <c r="K70" s="11">
        <v>2.5807415741585227</v>
      </c>
      <c r="L70" s="11">
        <v>-0.11074157415852248</v>
      </c>
    </row>
    <row r="71" spans="1:12" x14ac:dyDescent="0.3">
      <c r="J71">
        <v>68</v>
      </c>
      <c r="K71" s="11">
        <v>1.1489069109260805</v>
      </c>
      <c r="L71" s="11">
        <v>-0.14890691092608055</v>
      </c>
    </row>
    <row r="72" spans="1:12" x14ac:dyDescent="0.3">
      <c r="J72">
        <v>69</v>
      </c>
      <c r="K72" s="11">
        <v>2.9309109278453604</v>
      </c>
      <c r="L72" s="11">
        <v>-0.92091092784536066</v>
      </c>
    </row>
    <row r="73" spans="1:12" x14ac:dyDescent="0.3">
      <c r="J73">
        <v>70</v>
      </c>
      <c r="K73" s="11">
        <v>2.4473437251349655</v>
      </c>
      <c r="L73" s="11">
        <v>-0.3573437251349656</v>
      </c>
    </row>
    <row r="74" spans="1:12" x14ac:dyDescent="0.3">
      <c r="J74">
        <v>71</v>
      </c>
      <c r="K74" s="11">
        <v>2.1703579136207738</v>
      </c>
      <c r="L74" s="11">
        <v>-0.20035791362077382</v>
      </c>
    </row>
    <row r="75" spans="1:12" x14ac:dyDescent="0.3">
      <c r="J75">
        <v>72</v>
      </c>
      <c r="K75" s="11">
        <v>2.8305230752099995</v>
      </c>
      <c r="L75" s="11">
        <v>0.16947692479000054</v>
      </c>
    </row>
    <row r="76" spans="1:12" x14ac:dyDescent="0.3">
      <c r="J76">
        <v>73</v>
      </c>
      <c r="K76" s="11">
        <v>3.5450968577246544</v>
      </c>
      <c r="L76" s="11">
        <v>-0.40509685772465431</v>
      </c>
    </row>
    <row r="77" spans="1:12" x14ac:dyDescent="0.3">
      <c r="J77">
        <v>74</v>
      </c>
      <c r="K77" s="11">
        <v>3.3987297733793627</v>
      </c>
      <c r="L77" s="11">
        <v>1.6012702266206373</v>
      </c>
    </row>
    <row r="78" spans="1:12" ht="15" thickBot="1" x14ac:dyDescent="0.35">
      <c r="J78">
        <v>75</v>
      </c>
      <c r="K78" s="11">
        <v>2.4214052544914964</v>
      </c>
      <c r="L78" s="11">
        <v>-0.22140525449149617</v>
      </c>
    </row>
    <row r="79" spans="1:12" x14ac:dyDescent="0.3">
      <c r="A79" s="25"/>
      <c r="B79" s="25"/>
      <c r="J79">
        <v>76</v>
      </c>
      <c r="K79" s="11">
        <v>2.0304754469363493</v>
      </c>
      <c r="L79" s="11">
        <v>-0.78047544693634929</v>
      </c>
    </row>
    <row r="80" spans="1:12" x14ac:dyDescent="0.3">
      <c r="J80">
        <v>77</v>
      </c>
      <c r="K80" s="11">
        <v>2.7169185450367372</v>
      </c>
      <c r="L80" s="11">
        <v>0.36308145496326283</v>
      </c>
    </row>
    <row r="81" spans="1:12" x14ac:dyDescent="0.3">
      <c r="J81">
        <v>78</v>
      </c>
      <c r="K81" s="11">
        <v>3.9612862041878856</v>
      </c>
      <c r="L81" s="11">
        <v>3.8713795812114427E-2</v>
      </c>
    </row>
    <row r="82" spans="1:12" x14ac:dyDescent="0.3">
      <c r="J82">
        <v>79</v>
      </c>
      <c r="K82" s="11">
        <v>3.1652835375881381</v>
      </c>
      <c r="L82" s="11">
        <v>-0.16528353758813807</v>
      </c>
    </row>
    <row r="83" spans="1:12" x14ac:dyDescent="0.3">
      <c r="J83">
        <v>80</v>
      </c>
      <c r="K83" s="11">
        <v>2.6585569860889309</v>
      </c>
      <c r="L83" s="11">
        <v>5.1443013911069091E-2</v>
      </c>
    </row>
    <row r="84" spans="1:12" ht="15" thickBot="1" x14ac:dyDescent="0.35">
      <c r="A84" s="16"/>
      <c r="B84" s="16"/>
      <c r="J84">
        <v>81</v>
      </c>
      <c r="K84" s="11">
        <v>2.8577273856727143</v>
      </c>
      <c r="L84" s="11">
        <v>0.14227261432728566</v>
      </c>
    </row>
    <row r="85" spans="1:12" ht="15" thickBot="1" x14ac:dyDescent="0.35">
      <c r="J85">
        <v>82</v>
      </c>
      <c r="K85" s="11">
        <v>2.6001954271411245</v>
      </c>
      <c r="L85" s="11">
        <v>0.79980457285887541</v>
      </c>
    </row>
    <row r="86" spans="1:12" ht="15" thickBot="1" x14ac:dyDescent="0.35">
      <c r="F86" s="17"/>
      <c r="J86">
        <v>83</v>
      </c>
      <c r="K86" s="11">
        <v>1.797368677012817</v>
      </c>
      <c r="L86" s="11">
        <v>3.2631322987183076E-2</v>
      </c>
    </row>
    <row r="87" spans="1:12" ht="15" thickBot="1" x14ac:dyDescent="0.35">
      <c r="A87" s="17"/>
      <c r="B87" s="17"/>
      <c r="C87" s="17"/>
      <c r="D87" s="17"/>
      <c r="E87" s="17"/>
      <c r="J87">
        <v>84</v>
      </c>
      <c r="K87" s="11">
        <v>4.0842464975281985</v>
      </c>
      <c r="L87" s="11">
        <v>0.91575350247180154</v>
      </c>
    </row>
    <row r="88" spans="1:12" x14ac:dyDescent="0.3">
      <c r="H88" s="17"/>
      <c r="I88" s="17"/>
      <c r="J88">
        <v>85</v>
      </c>
      <c r="K88" s="11">
        <v>2.537201998435556</v>
      </c>
      <c r="L88" s="11">
        <v>-0.50720199843555624</v>
      </c>
    </row>
    <row r="89" spans="1:12" ht="15" thickBot="1" x14ac:dyDescent="0.35">
      <c r="F89" s="16"/>
      <c r="J89">
        <v>86</v>
      </c>
      <c r="K89" s="11">
        <v>4.6681095292224279</v>
      </c>
      <c r="L89" s="11">
        <v>0.50189047077757198</v>
      </c>
    </row>
    <row r="90" spans="1:12" ht="15" thickBot="1" x14ac:dyDescent="0.35">
      <c r="A90" s="16"/>
      <c r="B90" s="16"/>
      <c r="C90" s="16"/>
      <c r="D90" s="16"/>
      <c r="E90" s="16"/>
      <c r="G90" s="17"/>
      <c r="J90">
        <v>87</v>
      </c>
      <c r="K90" s="11">
        <v>2.2639216827275743</v>
      </c>
      <c r="L90" s="11">
        <v>-0.26392168272757432</v>
      </c>
    </row>
    <row r="91" spans="1:12" ht="15" thickBot="1" x14ac:dyDescent="0.35">
      <c r="F91" s="17"/>
      <c r="H91" s="16"/>
      <c r="I91" s="16"/>
      <c r="J91">
        <v>88</v>
      </c>
      <c r="K91" s="11">
        <v>2.7502680072926267</v>
      </c>
      <c r="L91" s="11">
        <v>1.2497319927073733</v>
      </c>
    </row>
    <row r="92" spans="1:12" x14ac:dyDescent="0.3">
      <c r="A92" s="17"/>
      <c r="B92" s="17"/>
      <c r="C92" s="17"/>
      <c r="D92" s="17"/>
      <c r="E92" s="17"/>
      <c r="J92">
        <v>89</v>
      </c>
      <c r="K92" s="11">
        <v>3.3459264581408714</v>
      </c>
      <c r="L92" s="11">
        <v>2.5040735418591282</v>
      </c>
    </row>
    <row r="93" spans="1:12" ht="15" thickBot="1" x14ac:dyDescent="0.35">
      <c r="G93" s="16"/>
      <c r="J93">
        <v>90</v>
      </c>
      <c r="K93" s="11">
        <v>3.0170637053397407</v>
      </c>
      <c r="L93" s="11">
        <v>-1.7063705339740665E-2</v>
      </c>
    </row>
    <row r="94" spans="1:12" ht="15" thickBot="1" x14ac:dyDescent="0.35">
      <c r="F94" s="16"/>
      <c r="J94">
        <v>91</v>
      </c>
      <c r="K94" s="11">
        <v>3.740561761502228</v>
      </c>
      <c r="L94" s="11">
        <v>-0.74056176150222797</v>
      </c>
    </row>
    <row r="95" spans="1:12" ht="15" thickBot="1" x14ac:dyDescent="0.35">
      <c r="A95" s="16"/>
      <c r="B95" s="16"/>
      <c r="C95" s="16"/>
      <c r="D95" s="16"/>
      <c r="E95" s="16"/>
      <c r="J95">
        <v>92</v>
      </c>
      <c r="K95" s="11">
        <v>3.1402714408962207</v>
      </c>
      <c r="L95" s="11">
        <v>0.35972855910377932</v>
      </c>
    </row>
    <row r="96" spans="1:12" x14ac:dyDescent="0.3">
      <c r="J96">
        <v>93</v>
      </c>
      <c r="K96" s="11">
        <v>1.5895214459973688</v>
      </c>
      <c r="L96" s="11">
        <v>-0.58952144599736878</v>
      </c>
    </row>
    <row r="97" spans="1:12" x14ac:dyDescent="0.3">
      <c r="J97">
        <v>94</v>
      </c>
      <c r="K97" s="11">
        <v>2.5686987127883407</v>
      </c>
      <c r="L97" s="11">
        <v>1.7313012872116591</v>
      </c>
    </row>
    <row r="98" spans="1:12" x14ac:dyDescent="0.3">
      <c r="J98">
        <v>95</v>
      </c>
      <c r="K98" s="11">
        <v>3.164357163636585</v>
      </c>
      <c r="L98" s="11">
        <v>8.5642836363414965E-2</v>
      </c>
    </row>
    <row r="99" spans="1:12" ht="15" thickBot="1" x14ac:dyDescent="0.35">
      <c r="A99" t="s">
        <v>322</v>
      </c>
      <c r="J99">
        <v>96</v>
      </c>
      <c r="K99" s="11">
        <v>5.1627932193514532</v>
      </c>
      <c r="L99" s="11">
        <v>-0.43279321935145276</v>
      </c>
    </row>
    <row r="100" spans="1:12" ht="15" thickBot="1" x14ac:dyDescent="0.35">
      <c r="F100" s="17"/>
      <c r="J100">
        <v>97</v>
      </c>
      <c r="K100" s="11">
        <v>3.584004563689859</v>
      </c>
      <c r="L100" s="11">
        <v>0.41599543631014102</v>
      </c>
    </row>
    <row r="101" spans="1:12" x14ac:dyDescent="0.3">
      <c r="A101" s="17" t="s">
        <v>323</v>
      </c>
      <c r="B101" s="17" t="s">
        <v>324</v>
      </c>
      <c r="C101" s="17" t="s">
        <v>325</v>
      </c>
      <c r="E101" s="17"/>
      <c r="J101">
        <v>98</v>
      </c>
      <c r="K101" s="11">
        <v>2.1712842875723259</v>
      </c>
      <c r="L101" s="11">
        <v>-0.67128428757232594</v>
      </c>
    </row>
    <row r="102" spans="1:12" x14ac:dyDescent="0.3">
      <c r="A102">
        <v>1</v>
      </c>
      <c r="B102">
        <v>2.6307657675423561</v>
      </c>
      <c r="C102">
        <v>-1.6207657675423561</v>
      </c>
      <c r="J102">
        <v>99</v>
      </c>
      <c r="K102" s="11">
        <v>3.003168096066454</v>
      </c>
      <c r="L102" s="11">
        <v>-3.1680960664539626E-3</v>
      </c>
    </row>
    <row r="103" spans="1:12" x14ac:dyDescent="0.3">
      <c r="A103">
        <v>2</v>
      </c>
      <c r="B103">
        <v>2.2070734058151804</v>
      </c>
      <c r="C103">
        <v>-0.54707340581518049</v>
      </c>
      <c r="J103">
        <v>100</v>
      </c>
      <c r="K103" s="11">
        <v>2.2111183674890831</v>
      </c>
      <c r="L103" s="11">
        <v>-0.71111836748908308</v>
      </c>
    </row>
    <row r="104" spans="1:12" x14ac:dyDescent="0.3">
      <c r="A104">
        <v>3</v>
      </c>
      <c r="B104">
        <v>3.195514412121677</v>
      </c>
      <c r="C104">
        <v>0.30448558787832303</v>
      </c>
      <c r="J104">
        <v>101</v>
      </c>
      <c r="K104" s="11">
        <v>2.1082908588667575</v>
      </c>
      <c r="L104" s="11">
        <v>0.39170914113324251</v>
      </c>
    </row>
    <row r="105" spans="1:12" x14ac:dyDescent="0.3">
      <c r="A105">
        <v>4</v>
      </c>
      <c r="B105">
        <v>3.2505099411309657</v>
      </c>
      <c r="C105">
        <v>5.9490058869034357E-2</v>
      </c>
      <c r="J105">
        <v>102</v>
      </c>
      <c r="K105" s="11">
        <v>2.4816195613424075</v>
      </c>
      <c r="L105" s="11">
        <v>0.51838043865759253</v>
      </c>
    </row>
    <row r="106" spans="1:12" x14ac:dyDescent="0.3">
      <c r="A106">
        <v>5</v>
      </c>
      <c r="B106">
        <v>3.7195026028326881</v>
      </c>
      <c r="C106">
        <v>-0.1095026028326882</v>
      </c>
      <c r="J106">
        <v>103</v>
      </c>
      <c r="K106" s="11">
        <v>5.3530393452874039</v>
      </c>
      <c r="L106" s="11">
        <v>-2.8530393452874039</v>
      </c>
    </row>
    <row r="107" spans="1:12" x14ac:dyDescent="0.3">
      <c r="A107">
        <v>6</v>
      </c>
      <c r="B107">
        <v>3.7843487794413617</v>
      </c>
      <c r="C107">
        <v>0.92565122055863824</v>
      </c>
      <c r="J107">
        <v>104</v>
      </c>
      <c r="K107" s="11">
        <v>3.1337868232353534</v>
      </c>
      <c r="L107" s="11">
        <v>0.34621317676464658</v>
      </c>
    </row>
    <row r="108" spans="1:12" x14ac:dyDescent="0.3">
      <c r="A108">
        <v>7</v>
      </c>
      <c r="B108">
        <v>1.8692863793662178</v>
      </c>
      <c r="C108">
        <v>0.13071362063378222</v>
      </c>
      <c r="J108">
        <v>105</v>
      </c>
      <c r="K108" s="11">
        <v>2.9948307305024815</v>
      </c>
      <c r="L108" s="11">
        <v>1.0851692694975186</v>
      </c>
    </row>
    <row r="109" spans="1:12" x14ac:dyDescent="0.3">
      <c r="A109">
        <v>8</v>
      </c>
      <c r="B109">
        <v>3.9316422377382061</v>
      </c>
      <c r="C109">
        <v>-0.81164223773820598</v>
      </c>
      <c r="J109">
        <v>106</v>
      </c>
      <c r="K109" s="11">
        <v>2.4797668134393023</v>
      </c>
      <c r="L109" s="11">
        <v>-0.83976681343930237</v>
      </c>
    </row>
    <row r="110" spans="1:12" x14ac:dyDescent="0.3">
      <c r="A110">
        <v>9</v>
      </c>
      <c r="B110">
        <v>2.4501228469896228</v>
      </c>
      <c r="C110">
        <v>-0.49012284698962283</v>
      </c>
      <c r="J110">
        <v>107</v>
      </c>
      <c r="K110" s="11">
        <v>2.9549966505857244</v>
      </c>
      <c r="L110" s="11">
        <v>1.1050033494142752</v>
      </c>
    </row>
    <row r="111" spans="1:12" x14ac:dyDescent="0.3">
      <c r="A111">
        <v>10</v>
      </c>
      <c r="B111">
        <v>2.4260371242492584</v>
      </c>
      <c r="C111">
        <v>0.80396287575074155</v>
      </c>
      <c r="J111">
        <v>108</v>
      </c>
      <c r="K111" s="11">
        <v>3.3922451557184954</v>
      </c>
      <c r="L111" s="11">
        <v>0.89775484428150465</v>
      </c>
    </row>
    <row r="112" spans="1:12" x14ac:dyDescent="0.3">
      <c r="A112">
        <v>11</v>
      </c>
      <c r="B112">
        <v>2.0082424720990897</v>
      </c>
      <c r="C112">
        <v>-0.29824247209908972</v>
      </c>
      <c r="J112">
        <v>109</v>
      </c>
      <c r="K112" s="11">
        <v>2.7465625114864167</v>
      </c>
      <c r="L112" s="11">
        <v>1.0134374885135831</v>
      </c>
    </row>
    <row r="113" spans="1:12" x14ac:dyDescent="0.3">
      <c r="A113">
        <v>12</v>
      </c>
      <c r="B113">
        <v>4.7079436091391846</v>
      </c>
      <c r="C113">
        <v>0.29205639086081536</v>
      </c>
      <c r="J113">
        <v>110</v>
      </c>
      <c r="K113" s="11">
        <v>2.3824975485262918</v>
      </c>
      <c r="L113" s="11">
        <v>1.6175024514737082</v>
      </c>
    </row>
    <row r="114" spans="1:12" x14ac:dyDescent="0.3">
      <c r="A114">
        <v>13</v>
      </c>
      <c r="B114">
        <v>2.485325057148617</v>
      </c>
      <c r="C114">
        <v>-0.91532505714861689</v>
      </c>
      <c r="J114">
        <v>111</v>
      </c>
      <c r="K114" s="11">
        <v>2.3537799560281649</v>
      </c>
      <c r="L114" s="11">
        <v>0.64622004397183508</v>
      </c>
    </row>
    <row r="115" spans="1:12" x14ac:dyDescent="0.3">
      <c r="A115">
        <v>14</v>
      </c>
      <c r="B115">
        <v>3.1488562486763603</v>
      </c>
      <c r="C115">
        <v>-0.14885624867636027</v>
      </c>
      <c r="J115">
        <v>112</v>
      </c>
      <c r="K115" s="11">
        <v>1.5361312226750172</v>
      </c>
      <c r="L115" s="11">
        <v>-0.53613122267501723</v>
      </c>
    </row>
    <row r="116" spans="1:12" x14ac:dyDescent="0.3">
      <c r="A116">
        <v>15</v>
      </c>
      <c r="B116">
        <v>2.4306689940070205</v>
      </c>
      <c r="C116">
        <v>0.5893310059929795</v>
      </c>
      <c r="J116">
        <v>113</v>
      </c>
      <c r="K116" s="11">
        <v>4.7759083734702088</v>
      </c>
      <c r="L116" s="11">
        <v>-0.7759083734702088</v>
      </c>
    </row>
    <row r="117" spans="1:12" x14ac:dyDescent="0.3">
      <c r="A117">
        <v>16</v>
      </c>
      <c r="B117">
        <v>3.0559714113049452</v>
      </c>
      <c r="C117">
        <v>0.86402858869505472</v>
      </c>
      <c r="J117">
        <v>114</v>
      </c>
      <c r="K117" s="11">
        <v>3.2755220378228826</v>
      </c>
      <c r="L117" s="11">
        <v>-0.72552203782288283</v>
      </c>
    </row>
    <row r="118" spans="1:12" x14ac:dyDescent="0.3">
      <c r="A118">
        <v>17</v>
      </c>
      <c r="B118">
        <v>2.2061470318636278</v>
      </c>
      <c r="C118">
        <v>-0.53614703186362789</v>
      </c>
      <c r="J118">
        <v>115</v>
      </c>
      <c r="K118" s="11">
        <v>3.6309101693513428</v>
      </c>
      <c r="L118" s="11">
        <v>0.36908983064865719</v>
      </c>
    </row>
    <row r="119" spans="1:12" x14ac:dyDescent="0.3">
      <c r="A119">
        <v>18</v>
      </c>
      <c r="B119">
        <v>2.7582659069889059</v>
      </c>
      <c r="C119">
        <v>0.95173409301109402</v>
      </c>
      <c r="J119">
        <v>116</v>
      </c>
      <c r="K119" s="11">
        <v>2.6604097339920356</v>
      </c>
      <c r="L119" s="11">
        <v>0.83959026600796438</v>
      </c>
    </row>
    <row r="120" spans="1:12" x14ac:dyDescent="0.3">
      <c r="A120">
        <v>19</v>
      </c>
      <c r="B120">
        <v>2.8212593356944748</v>
      </c>
      <c r="C120">
        <v>0.67874066430552515</v>
      </c>
      <c r="J120">
        <v>117</v>
      </c>
      <c r="K120" s="11">
        <v>4.2141862929617124</v>
      </c>
      <c r="L120" s="11">
        <v>0.85581370703828785</v>
      </c>
    </row>
    <row r="121" spans="1:12" x14ac:dyDescent="0.3">
      <c r="A121">
        <v>20</v>
      </c>
      <c r="B121">
        <v>3.1621649498657876</v>
      </c>
      <c r="C121">
        <v>0.18783505013421253</v>
      </c>
      <c r="J121">
        <v>118</v>
      </c>
      <c r="K121" s="11">
        <v>2.0434446822580838</v>
      </c>
      <c r="L121" s="11">
        <v>-0.54344468225808384</v>
      </c>
    </row>
    <row r="122" spans="1:12" x14ac:dyDescent="0.3">
      <c r="A122">
        <v>21</v>
      </c>
      <c r="B122">
        <v>2.7169185450367372</v>
      </c>
      <c r="C122">
        <v>1.3630814549632628</v>
      </c>
      <c r="J122">
        <v>119</v>
      </c>
      <c r="K122" s="11">
        <v>2.2083392456344253</v>
      </c>
      <c r="L122" s="11">
        <v>-0.40833924563442525</v>
      </c>
    </row>
    <row r="123" spans="1:12" x14ac:dyDescent="0.3">
      <c r="A123">
        <v>22</v>
      </c>
      <c r="B123">
        <v>2.9364691715546751</v>
      </c>
      <c r="C123">
        <v>-0.18646917155467513</v>
      </c>
      <c r="J123">
        <v>120</v>
      </c>
      <c r="K123" s="11">
        <v>3.6722575313035115</v>
      </c>
      <c r="L123" s="11">
        <v>-0.75225753130351158</v>
      </c>
    </row>
    <row r="124" spans="1:12" x14ac:dyDescent="0.3">
      <c r="A124">
        <v>23</v>
      </c>
      <c r="B124">
        <v>2.5177481454529538</v>
      </c>
      <c r="C124">
        <v>-0.2877481454529538</v>
      </c>
      <c r="J124">
        <v>121</v>
      </c>
      <c r="K124" s="11">
        <v>2.1397875732195422</v>
      </c>
      <c r="L124" s="11">
        <v>0.17021242678045789</v>
      </c>
    </row>
    <row r="125" spans="1:12" x14ac:dyDescent="0.3">
      <c r="A125">
        <v>24</v>
      </c>
      <c r="B125">
        <v>5.093315172985017</v>
      </c>
      <c r="C125">
        <v>2.4866848270149831</v>
      </c>
      <c r="J125">
        <v>122</v>
      </c>
      <c r="K125" s="11">
        <v>2.3000502668381211</v>
      </c>
      <c r="L125" s="11">
        <v>-0.62005026683812114</v>
      </c>
    </row>
    <row r="126" spans="1:12" x14ac:dyDescent="0.3">
      <c r="A126">
        <v>25</v>
      </c>
      <c r="B126">
        <v>2.8929295958317085</v>
      </c>
      <c r="C126">
        <v>0.28707040416829166</v>
      </c>
      <c r="J126">
        <v>123</v>
      </c>
      <c r="K126" s="11">
        <v>2.3778656787685293</v>
      </c>
      <c r="L126" s="11">
        <v>0.12213432123147072</v>
      </c>
    </row>
    <row r="127" spans="1:12" x14ac:dyDescent="0.3">
      <c r="A127">
        <v>26</v>
      </c>
      <c r="B127">
        <v>3.0914210636801061</v>
      </c>
      <c r="C127">
        <v>-0.75142106368010619</v>
      </c>
      <c r="J127">
        <v>124</v>
      </c>
      <c r="K127" s="11">
        <v>2.5344228765808987</v>
      </c>
      <c r="L127" s="11">
        <v>-0.53442287658089871</v>
      </c>
    </row>
    <row r="128" spans="1:12" x14ac:dyDescent="0.3">
      <c r="A128">
        <v>27</v>
      </c>
      <c r="B128">
        <v>2.2954183970803586</v>
      </c>
      <c r="C128">
        <v>-0.29541839708035855</v>
      </c>
      <c r="J128">
        <v>125</v>
      </c>
      <c r="K128" s="11">
        <v>2.2129711153921878</v>
      </c>
      <c r="L128" s="11">
        <v>0.30702888460781219</v>
      </c>
    </row>
    <row r="129" spans="1:12" x14ac:dyDescent="0.3">
      <c r="A129">
        <v>28</v>
      </c>
      <c r="B129">
        <v>2.2324249683747901</v>
      </c>
      <c r="C129">
        <v>-0.2324249683747901</v>
      </c>
      <c r="J129">
        <v>126</v>
      </c>
      <c r="K129" s="11">
        <v>4.5868360637019769</v>
      </c>
      <c r="L129" s="11">
        <v>-0.38683606370197676</v>
      </c>
    </row>
    <row r="130" spans="1:12" x14ac:dyDescent="0.3">
      <c r="A130">
        <v>29</v>
      </c>
      <c r="B130">
        <v>3.0670878987235746</v>
      </c>
      <c r="C130">
        <v>1.2329121012764253</v>
      </c>
      <c r="J130">
        <v>127</v>
      </c>
      <c r="K130" s="11">
        <v>1.8461270305774056</v>
      </c>
      <c r="L130" s="11">
        <v>-0.36612703057740559</v>
      </c>
    </row>
    <row r="131" spans="1:12" x14ac:dyDescent="0.3">
      <c r="A131">
        <v>30</v>
      </c>
      <c r="B131">
        <v>2.8771812386553162</v>
      </c>
      <c r="C131">
        <v>0.12281876134468384</v>
      </c>
      <c r="J131">
        <v>128</v>
      </c>
      <c r="K131" s="11">
        <v>2.4019514015088941</v>
      </c>
      <c r="L131" s="11">
        <v>-0.40195140150889408</v>
      </c>
    </row>
    <row r="132" spans="1:12" x14ac:dyDescent="0.3">
      <c r="A132">
        <v>31</v>
      </c>
      <c r="B132">
        <v>1.9415435475873113</v>
      </c>
      <c r="C132">
        <v>-0.49154354758731134</v>
      </c>
      <c r="J132">
        <v>129</v>
      </c>
      <c r="K132" s="11">
        <v>2.1110699807214153</v>
      </c>
      <c r="L132" s="11">
        <v>-0.11106998072141527</v>
      </c>
    </row>
    <row r="133" spans="1:12" x14ac:dyDescent="0.3">
      <c r="A133">
        <v>32</v>
      </c>
      <c r="B133">
        <v>3.1414452570639404</v>
      </c>
      <c r="C133">
        <v>-0.6414452570639404</v>
      </c>
      <c r="J133">
        <v>130</v>
      </c>
      <c r="K133" s="11">
        <v>3.3631880973526762</v>
      </c>
      <c r="L133" s="11">
        <v>-1.183188097352676</v>
      </c>
    </row>
    <row r="134" spans="1:12" x14ac:dyDescent="0.3">
      <c r="A134">
        <v>33</v>
      </c>
      <c r="B134">
        <v>2.451975594892728</v>
      </c>
      <c r="C134">
        <v>0.54802440510727202</v>
      </c>
      <c r="J134">
        <v>131</v>
      </c>
      <c r="K134" s="11">
        <v>2.8243779234168249</v>
      </c>
      <c r="L134" s="11">
        <v>-1.3243779234168249</v>
      </c>
    </row>
    <row r="135" spans="1:12" x14ac:dyDescent="0.3">
      <c r="A135">
        <v>34</v>
      </c>
      <c r="B135">
        <v>3.3582167617272209</v>
      </c>
      <c r="C135">
        <v>-0.90821676172722077</v>
      </c>
      <c r="J135">
        <v>132</v>
      </c>
      <c r="K135" s="11">
        <v>2.9346164236515699</v>
      </c>
      <c r="L135" s="11">
        <v>-0.10461642365156987</v>
      </c>
    </row>
    <row r="136" spans="1:12" x14ac:dyDescent="0.3">
      <c r="A136">
        <v>35</v>
      </c>
      <c r="B136">
        <v>2.7039493097150027</v>
      </c>
      <c r="C136">
        <v>0.56605069028499733</v>
      </c>
      <c r="J136">
        <v>133</v>
      </c>
      <c r="K136" s="11">
        <v>2.091616127738813</v>
      </c>
      <c r="L136" s="11">
        <v>-0.591616127738813</v>
      </c>
    </row>
    <row r="137" spans="1:12" x14ac:dyDescent="0.3">
      <c r="A137">
        <v>36</v>
      </c>
      <c r="B137">
        <v>3.4780584673451829</v>
      </c>
      <c r="C137">
        <v>0.12194153265481722</v>
      </c>
      <c r="J137">
        <v>134</v>
      </c>
      <c r="K137" s="11">
        <v>2.1925908884580334</v>
      </c>
      <c r="L137" s="11">
        <v>-0.1925908884580334</v>
      </c>
    </row>
    <row r="138" spans="1:12" x14ac:dyDescent="0.3">
      <c r="A138">
        <v>37</v>
      </c>
      <c r="B138">
        <v>2.7601186548920111</v>
      </c>
      <c r="C138">
        <v>-0.76011865489201114</v>
      </c>
      <c r="J138">
        <v>135</v>
      </c>
      <c r="K138" s="11">
        <v>2.7484152593895219</v>
      </c>
      <c r="L138" s="11">
        <v>0.50158474061047809</v>
      </c>
    </row>
    <row r="139" spans="1:12" x14ac:dyDescent="0.3">
      <c r="A139">
        <v>38</v>
      </c>
      <c r="B139">
        <v>2.8175538398882649</v>
      </c>
      <c r="C139">
        <v>0.25244616011173493</v>
      </c>
      <c r="J139">
        <v>136</v>
      </c>
      <c r="K139" s="11">
        <v>1.8452006566258532</v>
      </c>
      <c r="L139" s="11">
        <v>-0.5952006566258532</v>
      </c>
    </row>
    <row r="140" spans="1:12" x14ac:dyDescent="0.3">
      <c r="A140">
        <v>39</v>
      </c>
      <c r="B140">
        <v>2.9805956553615016</v>
      </c>
      <c r="C140">
        <v>-0.67059565536150156</v>
      </c>
      <c r="J140">
        <v>137</v>
      </c>
      <c r="K140" s="11">
        <v>2.0138007158084048</v>
      </c>
      <c r="L140" s="11">
        <v>-1.3800715808404806E-2</v>
      </c>
    </row>
    <row r="141" spans="1:12" x14ac:dyDescent="0.3">
      <c r="A141">
        <v>40</v>
      </c>
      <c r="B141">
        <v>4.1459740864145216</v>
      </c>
      <c r="C141">
        <v>0.85402591358547841</v>
      </c>
      <c r="J141">
        <v>138</v>
      </c>
      <c r="K141" s="11">
        <v>2.3676755653014521</v>
      </c>
      <c r="L141" s="11">
        <v>-0.36767556530145207</v>
      </c>
    </row>
    <row r="142" spans="1:12" x14ac:dyDescent="0.3">
      <c r="A142">
        <v>41</v>
      </c>
      <c r="B142">
        <v>2.7351065582000942</v>
      </c>
      <c r="C142">
        <v>-0.49510655820009397</v>
      </c>
      <c r="J142">
        <v>139</v>
      </c>
      <c r="K142" s="11">
        <v>2.5390547463386612</v>
      </c>
      <c r="L142" s="11">
        <v>-0.53905474633866124</v>
      </c>
    </row>
    <row r="143" spans="1:12" x14ac:dyDescent="0.3">
      <c r="A143">
        <v>42</v>
      </c>
      <c r="B143">
        <v>2.6743053432653232</v>
      </c>
      <c r="C143">
        <v>-0.13430534326532317</v>
      </c>
      <c r="J143">
        <v>140</v>
      </c>
      <c r="K143" s="11">
        <v>2.2759645440977563</v>
      </c>
      <c r="L143" s="11">
        <v>0.47403545590224372</v>
      </c>
    </row>
    <row r="144" spans="1:12" x14ac:dyDescent="0.3">
      <c r="A144">
        <v>43</v>
      </c>
      <c r="B144">
        <v>2.3482217123188498</v>
      </c>
      <c r="C144">
        <v>0.71177828768115026</v>
      </c>
      <c r="J144">
        <v>141</v>
      </c>
      <c r="K144" s="11">
        <v>2.6752317172168754</v>
      </c>
      <c r="L144" s="11">
        <v>0.82476828278312464</v>
      </c>
    </row>
    <row r="145" spans="1:12" x14ac:dyDescent="0.3">
      <c r="A145">
        <v>44</v>
      </c>
      <c r="B145">
        <v>1.9535864089574935</v>
      </c>
      <c r="C145">
        <v>-0.63358640895749341</v>
      </c>
      <c r="J145">
        <v>142</v>
      </c>
      <c r="K145" s="11">
        <v>5.0037043419005931</v>
      </c>
      <c r="L145" s="11">
        <v>1.6962956580994071</v>
      </c>
    </row>
    <row r="146" spans="1:12" x14ac:dyDescent="0.3">
      <c r="A146">
        <v>45</v>
      </c>
      <c r="B146">
        <v>4.2577258686846786</v>
      </c>
      <c r="C146">
        <v>1.342274131315321</v>
      </c>
      <c r="J146">
        <v>143</v>
      </c>
      <c r="K146" s="11">
        <v>5.4496296784650289</v>
      </c>
      <c r="L146" s="11">
        <v>-0.44962967846502888</v>
      </c>
    </row>
    <row r="147" spans="1:12" x14ac:dyDescent="0.3">
      <c r="A147">
        <v>46</v>
      </c>
      <c r="B147">
        <v>2.7511943812441793</v>
      </c>
      <c r="C147">
        <v>0.24880561875582075</v>
      </c>
      <c r="J147">
        <v>144</v>
      </c>
      <c r="K147" s="11">
        <v>4.3320832270250449</v>
      </c>
      <c r="L147" s="11">
        <v>0.66791677297495511</v>
      </c>
    </row>
    <row r="148" spans="1:12" x14ac:dyDescent="0.3">
      <c r="A148">
        <v>47</v>
      </c>
      <c r="B148">
        <v>3.1161857181558563</v>
      </c>
      <c r="C148">
        <v>1.8838142818441437</v>
      </c>
      <c r="J148">
        <v>145</v>
      </c>
      <c r="K148" s="11">
        <v>2.5788888262554179</v>
      </c>
      <c r="L148" s="11">
        <v>-0.27888882625541811</v>
      </c>
    </row>
    <row r="149" spans="1:12" x14ac:dyDescent="0.3">
      <c r="A149">
        <v>48</v>
      </c>
      <c r="B149">
        <v>4.4430006589951745</v>
      </c>
      <c r="C149">
        <v>1.5569993410048255</v>
      </c>
      <c r="J149">
        <v>146</v>
      </c>
      <c r="K149" s="11">
        <v>1.8303786734010137</v>
      </c>
      <c r="L149" s="11">
        <v>-0.33037867340101368</v>
      </c>
    </row>
    <row r="150" spans="1:12" x14ac:dyDescent="0.3">
      <c r="A150">
        <v>49</v>
      </c>
      <c r="B150">
        <v>3.8940003715922469</v>
      </c>
      <c r="C150">
        <v>-1.8440003715922471</v>
      </c>
      <c r="J150">
        <v>147</v>
      </c>
      <c r="K150" s="11">
        <v>2.9759637856037391</v>
      </c>
      <c r="L150" s="11">
        <v>-1.615963785603739</v>
      </c>
    </row>
    <row r="151" spans="1:12" x14ac:dyDescent="0.3">
      <c r="A151">
        <v>50</v>
      </c>
      <c r="B151">
        <v>2.7280350324553666</v>
      </c>
      <c r="C151">
        <v>0.2719649675446334</v>
      </c>
      <c r="J151">
        <v>148</v>
      </c>
      <c r="K151" s="11">
        <v>2.1564623043474866</v>
      </c>
      <c r="L151" s="11">
        <v>-0.52646230434748675</v>
      </c>
    </row>
    <row r="152" spans="1:12" x14ac:dyDescent="0.3">
      <c r="A152">
        <v>51</v>
      </c>
      <c r="B152">
        <v>2.2185293591015025</v>
      </c>
      <c r="C152">
        <v>0.28147064089849749</v>
      </c>
      <c r="J152">
        <v>149</v>
      </c>
      <c r="K152" s="11">
        <v>1.9628501484730183</v>
      </c>
      <c r="L152" s="11">
        <v>-0.23285014847301833</v>
      </c>
    </row>
    <row r="153" spans="1:12" x14ac:dyDescent="0.3">
      <c r="A153">
        <v>52</v>
      </c>
      <c r="B153">
        <v>2.0100952200021949</v>
      </c>
      <c r="C153">
        <v>0.58990477999780522</v>
      </c>
      <c r="J153">
        <v>150</v>
      </c>
      <c r="K153" s="11">
        <v>1.752563261470605</v>
      </c>
      <c r="L153" s="11">
        <v>0.24743673852939496</v>
      </c>
    </row>
    <row r="154" spans="1:12" x14ac:dyDescent="0.3">
      <c r="A154">
        <v>53</v>
      </c>
      <c r="B154">
        <v>4.6662567813193228</v>
      </c>
      <c r="C154">
        <v>0.53374321868067742</v>
      </c>
      <c r="J154">
        <v>151</v>
      </c>
      <c r="K154" s="11">
        <v>2.3602645736890322</v>
      </c>
      <c r="L154" s="11">
        <v>0.1397354263109678</v>
      </c>
    </row>
    <row r="155" spans="1:12" x14ac:dyDescent="0.3">
      <c r="A155">
        <v>54</v>
      </c>
      <c r="B155">
        <v>1.977672131697858</v>
      </c>
      <c r="C155">
        <v>-0.417672131697858</v>
      </c>
      <c r="J155">
        <v>152</v>
      </c>
      <c r="K155" s="11">
        <v>2.2731854222430989</v>
      </c>
      <c r="L155" s="11">
        <v>-0.27318542224309894</v>
      </c>
    </row>
    <row r="156" spans="1:12" x14ac:dyDescent="0.3">
      <c r="A156">
        <v>55</v>
      </c>
      <c r="B156">
        <v>3.8093608761332787</v>
      </c>
      <c r="C156">
        <v>0.53063912386672119</v>
      </c>
      <c r="J156">
        <v>153</v>
      </c>
      <c r="K156" s="11">
        <v>2.848124180289497</v>
      </c>
      <c r="L156" s="11">
        <v>-0.10812418028949677</v>
      </c>
    </row>
    <row r="157" spans="1:12" x14ac:dyDescent="0.3">
      <c r="A157">
        <v>56</v>
      </c>
      <c r="B157">
        <v>2.8623592554304764</v>
      </c>
      <c r="C157">
        <v>0.64764074456952336</v>
      </c>
      <c r="J157">
        <v>154</v>
      </c>
      <c r="K157" s="11">
        <v>3.7157971070264781</v>
      </c>
      <c r="L157" s="11">
        <v>-1.7157971070264781</v>
      </c>
    </row>
    <row r="158" spans="1:12" x14ac:dyDescent="0.3">
      <c r="A158">
        <v>57</v>
      </c>
      <c r="B158">
        <v>4.9626964458161167</v>
      </c>
      <c r="C158">
        <v>-1.9626964458161167</v>
      </c>
      <c r="J158">
        <v>155</v>
      </c>
      <c r="K158" s="11">
        <v>3.2729903581843924</v>
      </c>
      <c r="L158" s="11">
        <v>-1.2729903581843924</v>
      </c>
    </row>
    <row r="159" spans="1:12" x14ac:dyDescent="0.3">
      <c r="A159">
        <v>58</v>
      </c>
      <c r="B159">
        <v>3.503410029904793</v>
      </c>
      <c r="C159">
        <v>-2.003410029904793</v>
      </c>
      <c r="J159">
        <v>156</v>
      </c>
      <c r="K159" s="11">
        <v>4.399121617404516</v>
      </c>
      <c r="L159" s="11">
        <v>0.74087838259548366</v>
      </c>
    </row>
    <row r="160" spans="1:12" x14ac:dyDescent="0.3">
      <c r="A160">
        <v>59</v>
      </c>
      <c r="B160">
        <v>2.0981007453996803</v>
      </c>
      <c r="C160">
        <v>-0.33810074539968027</v>
      </c>
      <c r="J160">
        <v>157</v>
      </c>
      <c r="K160" s="11">
        <v>6.2885850127038836</v>
      </c>
      <c r="L160" s="11">
        <v>-1.2885850127038836</v>
      </c>
    </row>
    <row r="161" spans="1:12" x14ac:dyDescent="0.3">
      <c r="A161">
        <v>60</v>
      </c>
      <c r="B161">
        <v>5.9131561201089617</v>
      </c>
      <c r="C161">
        <v>0.81684387989103868</v>
      </c>
      <c r="J161">
        <v>158</v>
      </c>
      <c r="K161" s="11">
        <v>3.7574839348463396</v>
      </c>
      <c r="L161" s="11">
        <v>-7.4839348463395794E-3</v>
      </c>
    </row>
    <row r="162" spans="1:12" x14ac:dyDescent="0.3">
      <c r="A162">
        <v>61</v>
      </c>
      <c r="B162">
        <v>2.9364691715546751</v>
      </c>
      <c r="C162">
        <v>0.27353082844532484</v>
      </c>
      <c r="J162">
        <v>159</v>
      </c>
      <c r="K162" s="11">
        <v>2.2972711449834637</v>
      </c>
      <c r="L162" s="11">
        <v>0.31272885501653613</v>
      </c>
    </row>
    <row r="163" spans="1:12" x14ac:dyDescent="0.3">
      <c r="A163">
        <v>62</v>
      </c>
      <c r="B163">
        <v>2.3361788509486678</v>
      </c>
      <c r="C163">
        <v>-0.33617885094866784</v>
      </c>
      <c r="J163">
        <v>160</v>
      </c>
      <c r="K163" s="11">
        <v>2.9691397020751786</v>
      </c>
      <c r="L163" s="11">
        <v>-0.96913970207517863</v>
      </c>
    </row>
    <row r="164" spans="1:12" x14ac:dyDescent="0.3">
      <c r="A164">
        <v>63</v>
      </c>
      <c r="B164">
        <v>2.0777205184655259</v>
      </c>
      <c r="C164">
        <v>-9.7720518465525874E-2</v>
      </c>
      <c r="J164">
        <v>161</v>
      </c>
      <c r="K164" s="11">
        <v>3.4332530518029714</v>
      </c>
      <c r="L164" s="11">
        <v>6.6746948197028644E-2</v>
      </c>
    </row>
    <row r="165" spans="1:12" x14ac:dyDescent="0.3">
      <c r="A165">
        <v>64</v>
      </c>
      <c r="B165">
        <v>3.1358870133546253</v>
      </c>
      <c r="C165">
        <v>0.62411298664537451</v>
      </c>
      <c r="J165">
        <v>162</v>
      </c>
      <c r="K165" s="11">
        <v>2.2296458465201328</v>
      </c>
      <c r="L165" s="11">
        <v>0.27035415347986724</v>
      </c>
    </row>
    <row r="166" spans="1:12" x14ac:dyDescent="0.3">
      <c r="A166">
        <v>65</v>
      </c>
      <c r="B166">
        <v>2.8786945206907286</v>
      </c>
      <c r="C166">
        <v>-0.2386945206907285</v>
      </c>
      <c r="J166">
        <v>163</v>
      </c>
      <c r="K166" s="11">
        <v>2.7508549153764865</v>
      </c>
      <c r="L166" s="11">
        <v>-0.75085491537648652</v>
      </c>
    </row>
    <row r="167" spans="1:12" x14ac:dyDescent="0.3">
      <c r="A167">
        <v>66</v>
      </c>
      <c r="B167">
        <v>3.1093616346272963</v>
      </c>
      <c r="C167">
        <v>4.06383653727036E-2</v>
      </c>
      <c r="J167">
        <v>164</v>
      </c>
      <c r="K167" s="11">
        <v>2.3361788509486678</v>
      </c>
      <c r="L167" s="11">
        <v>-0.33617885094866784</v>
      </c>
    </row>
    <row r="168" spans="1:12" x14ac:dyDescent="0.3">
      <c r="A168">
        <v>67</v>
      </c>
      <c r="B168">
        <v>2.5807415741585227</v>
      </c>
      <c r="C168">
        <v>-0.11074157415852248</v>
      </c>
      <c r="J168">
        <v>165</v>
      </c>
      <c r="K168" s="11">
        <v>2.6789372130230857</v>
      </c>
      <c r="L168" s="11">
        <v>0.32106278697691426</v>
      </c>
    </row>
    <row r="169" spans="1:12" x14ac:dyDescent="0.3">
      <c r="A169">
        <v>68</v>
      </c>
      <c r="B169">
        <v>1.1489069109260805</v>
      </c>
      <c r="C169">
        <v>-0.14890691092608055</v>
      </c>
      <c r="J169">
        <v>166</v>
      </c>
      <c r="K169" s="11">
        <v>3.5206716691165978</v>
      </c>
      <c r="L169" s="11">
        <v>-4.0671669116597808E-2</v>
      </c>
    </row>
    <row r="170" spans="1:12" x14ac:dyDescent="0.3">
      <c r="A170">
        <v>69</v>
      </c>
      <c r="B170">
        <v>2.9309109278453604</v>
      </c>
      <c r="C170">
        <v>-0.92091092784536066</v>
      </c>
      <c r="J170">
        <v>167</v>
      </c>
      <c r="K170" s="11">
        <v>2.9800087472776418</v>
      </c>
      <c r="L170" s="11">
        <v>-0.74000874727764154</v>
      </c>
    </row>
    <row r="171" spans="1:12" x14ac:dyDescent="0.3">
      <c r="A171">
        <v>70</v>
      </c>
      <c r="B171">
        <v>2.4473437251349655</v>
      </c>
      <c r="C171">
        <v>-0.3573437251349656</v>
      </c>
      <c r="J171">
        <v>168</v>
      </c>
      <c r="K171" s="11">
        <v>4.3790808563380548</v>
      </c>
      <c r="L171" s="11">
        <v>0.12091914366194523</v>
      </c>
    </row>
    <row r="172" spans="1:12" x14ac:dyDescent="0.3">
      <c r="A172">
        <v>71</v>
      </c>
      <c r="B172">
        <v>2.1703579136207738</v>
      </c>
      <c r="C172">
        <v>-0.20035791362077382</v>
      </c>
      <c r="J172">
        <v>169</v>
      </c>
      <c r="K172" s="11">
        <v>2.0378864385487692</v>
      </c>
      <c r="L172" s="11">
        <v>-0.42788643854876907</v>
      </c>
    </row>
    <row r="173" spans="1:12" x14ac:dyDescent="0.3">
      <c r="A173">
        <v>72</v>
      </c>
      <c r="B173">
        <v>2.8305230752099995</v>
      </c>
      <c r="C173">
        <v>0.16947692479000054</v>
      </c>
      <c r="J173">
        <v>170</v>
      </c>
      <c r="K173" s="11">
        <v>2.0415919343549791</v>
      </c>
      <c r="L173" s="11">
        <v>-4.1591934354979099E-2</v>
      </c>
    </row>
    <row r="174" spans="1:12" x14ac:dyDescent="0.3">
      <c r="A174">
        <v>73</v>
      </c>
      <c r="B174">
        <v>3.5450968577246544</v>
      </c>
      <c r="C174">
        <v>-0.40509685772465431</v>
      </c>
      <c r="J174">
        <v>171</v>
      </c>
      <c r="K174" s="11">
        <v>5.956108787748069</v>
      </c>
      <c r="L174" s="11">
        <v>4.043891212251931</v>
      </c>
    </row>
    <row r="175" spans="1:12" x14ac:dyDescent="0.3">
      <c r="A175">
        <v>74</v>
      </c>
      <c r="B175">
        <v>3.3987297733793627</v>
      </c>
      <c r="C175">
        <v>1.6012702266206373</v>
      </c>
      <c r="J175">
        <v>172</v>
      </c>
      <c r="K175" s="11">
        <v>2.5214536412591642</v>
      </c>
      <c r="L175" s="11">
        <v>0.63854635874083598</v>
      </c>
    </row>
    <row r="176" spans="1:12" x14ac:dyDescent="0.3">
      <c r="A176">
        <v>75</v>
      </c>
      <c r="B176">
        <v>2.4214052544914964</v>
      </c>
      <c r="C176">
        <v>-0.22140525449149617</v>
      </c>
      <c r="J176">
        <v>173</v>
      </c>
      <c r="K176" s="11">
        <v>1.7284775387302407</v>
      </c>
      <c r="L176" s="11">
        <v>3.4215224612697597</v>
      </c>
    </row>
    <row r="177" spans="1:12" x14ac:dyDescent="0.3">
      <c r="A177">
        <v>76</v>
      </c>
      <c r="B177">
        <v>2.0304754469363493</v>
      </c>
      <c r="C177">
        <v>-0.78047544693634929</v>
      </c>
      <c r="J177">
        <v>174</v>
      </c>
      <c r="K177" s="11">
        <v>4.0073574595493424</v>
      </c>
      <c r="L177" s="11">
        <v>-0.82735745954934226</v>
      </c>
    </row>
    <row r="178" spans="1:12" x14ac:dyDescent="0.3">
      <c r="A178">
        <v>77</v>
      </c>
      <c r="B178">
        <v>2.7169185450367372</v>
      </c>
      <c r="C178">
        <v>0.36308145496326283</v>
      </c>
      <c r="J178">
        <v>175</v>
      </c>
      <c r="K178" s="11">
        <v>2.6150174103659642</v>
      </c>
      <c r="L178" s="11">
        <v>1.3849825896340358</v>
      </c>
    </row>
    <row r="179" spans="1:12" x14ac:dyDescent="0.3">
      <c r="A179">
        <v>78</v>
      </c>
      <c r="B179">
        <v>3.9612862041878856</v>
      </c>
      <c r="C179">
        <v>3.8713795812114427E-2</v>
      </c>
      <c r="J179">
        <v>176</v>
      </c>
      <c r="K179" s="11">
        <v>4.1046267244623529</v>
      </c>
      <c r="L179" s="11">
        <v>-0.99462672446235301</v>
      </c>
    </row>
    <row r="180" spans="1:12" x14ac:dyDescent="0.3">
      <c r="A180">
        <v>79</v>
      </c>
      <c r="B180">
        <v>3.1652835375881381</v>
      </c>
      <c r="C180">
        <v>-0.16528353758813807</v>
      </c>
      <c r="J180">
        <v>177</v>
      </c>
      <c r="K180" s="11">
        <v>2.7141394231820799</v>
      </c>
      <c r="L180" s="11">
        <v>-0.7141394231820799</v>
      </c>
    </row>
    <row r="181" spans="1:12" x14ac:dyDescent="0.3">
      <c r="A181">
        <v>80</v>
      </c>
      <c r="B181">
        <v>2.6585569860889309</v>
      </c>
      <c r="C181">
        <v>5.1443013911069091E-2</v>
      </c>
      <c r="J181">
        <v>178</v>
      </c>
      <c r="K181" s="11">
        <v>2.3982459057026841</v>
      </c>
      <c r="L181" s="11">
        <v>-0.39824590570268414</v>
      </c>
    </row>
    <row r="182" spans="1:12" x14ac:dyDescent="0.3">
      <c r="A182">
        <v>81</v>
      </c>
      <c r="B182">
        <v>2.8577273856727143</v>
      </c>
      <c r="C182">
        <v>0.14227261432728566</v>
      </c>
      <c r="J182">
        <v>179</v>
      </c>
      <c r="K182" s="11">
        <v>1.9461754173450736</v>
      </c>
      <c r="L182" s="11">
        <v>2.0538245826549266</v>
      </c>
    </row>
    <row r="183" spans="1:12" x14ac:dyDescent="0.3">
      <c r="A183">
        <v>82</v>
      </c>
      <c r="B183">
        <v>2.6001954271411245</v>
      </c>
      <c r="C183">
        <v>0.79980457285887541</v>
      </c>
      <c r="J183">
        <v>180</v>
      </c>
      <c r="K183" s="11">
        <v>4.2648894180809318</v>
      </c>
      <c r="L183" s="11">
        <v>-0.71488941808093198</v>
      </c>
    </row>
    <row r="184" spans="1:12" x14ac:dyDescent="0.3">
      <c r="A184">
        <v>83</v>
      </c>
      <c r="B184">
        <v>1.797368677012817</v>
      </c>
      <c r="C184">
        <v>3.2631322987183076E-2</v>
      </c>
      <c r="J184">
        <v>181</v>
      </c>
      <c r="K184" s="11">
        <v>4.651434798094483</v>
      </c>
      <c r="L184" s="11">
        <v>-0.97143479809448285</v>
      </c>
    </row>
    <row r="185" spans="1:12" x14ac:dyDescent="0.3">
      <c r="A185">
        <v>84</v>
      </c>
      <c r="B185">
        <v>4.0842464975281985</v>
      </c>
      <c r="C185">
        <v>0.91575350247180154</v>
      </c>
      <c r="J185">
        <v>182</v>
      </c>
      <c r="K185" s="11">
        <v>3.2180868528266289</v>
      </c>
      <c r="L185" s="11">
        <v>2.4319131471733715</v>
      </c>
    </row>
    <row r="186" spans="1:12" x14ac:dyDescent="0.3">
      <c r="A186">
        <v>85</v>
      </c>
      <c r="B186">
        <v>2.537201998435556</v>
      </c>
      <c r="C186">
        <v>-0.50720199843555624</v>
      </c>
      <c r="J186">
        <v>183</v>
      </c>
      <c r="K186" s="11">
        <v>5.4503086102004143</v>
      </c>
      <c r="L186" s="11">
        <v>-1.9503086102004143</v>
      </c>
    </row>
    <row r="187" spans="1:12" x14ac:dyDescent="0.3">
      <c r="A187">
        <v>86</v>
      </c>
      <c r="B187">
        <v>4.6681095292224279</v>
      </c>
      <c r="C187">
        <v>0.50189047077757198</v>
      </c>
      <c r="J187">
        <v>184</v>
      </c>
      <c r="K187" s="11">
        <v>3.587957501712236</v>
      </c>
      <c r="L187" s="11">
        <v>2.912042498287764</v>
      </c>
    </row>
    <row r="188" spans="1:12" x14ac:dyDescent="0.3">
      <c r="A188">
        <v>87</v>
      </c>
      <c r="B188">
        <v>2.2639216827275743</v>
      </c>
      <c r="C188">
        <v>-0.26392168272757432</v>
      </c>
      <c r="J188">
        <v>185</v>
      </c>
      <c r="K188" s="11">
        <v>4.8133027974000004</v>
      </c>
      <c r="L188" s="11">
        <v>-1.8133027974000004</v>
      </c>
    </row>
    <row r="189" spans="1:12" x14ac:dyDescent="0.3">
      <c r="A189">
        <v>88</v>
      </c>
      <c r="B189">
        <v>2.7502680072926267</v>
      </c>
      <c r="C189">
        <v>1.2497319927073733</v>
      </c>
      <c r="J189">
        <v>186</v>
      </c>
      <c r="K189" s="11">
        <v>3.5505630777824444</v>
      </c>
      <c r="L189" s="11">
        <v>1.4494369222175556</v>
      </c>
    </row>
    <row r="190" spans="1:12" x14ac:dyDescent="0.3">
      <c r="A190">
        <v>89</v>
      </c>
      <c r="B190">
        <v>3.3459264581408714</v>
      </c>
      <c r="C190">
        <v>2.5040735418591282</v>
      </c>
      <c r="J190">
        <v>187</v>
      </c>
      <c r="K190" s="11">
        <v>3.1853242986545993</v>
      </c>
      <c r="L190" s="11">
        <v>0.31467570134540068</v>
      </c>
    </row>
    <row r="191" spans="1:12" x14ac:dyDescent="0.3">
      <c r="A191">
        <v>90</v>
      </c>
      <c r="B191">
        <v>3.0170637053397407</v>
      </c>
      <c r="C191">
        <v>-1.7063705339740665E-2</v>
      </c>
      <c r="J191">
        <v>188</v>
      </c>
      <c r="K191" s="11">
        <v>4.4556304284492176</v>
      </c>
      <c r="L191" s="11">
        <v>-2.4556304284492176</v>
      </c>
    </row>
    <row r="192" spans="1:12" x14ac:dyDescent="0.3">
      <c r="A192">
        <v>91</v>
      </c>
      <c r="B192">
        <v>3.740561761502228</v>
      </c>
      <c r="C192">
        <v>-0.74056176150222797</v>
      </c>
      <c r="J192">
        <v>189</v>
      </c>
      <c r="K192" s="11">
        <v>2.9305714619776673</v>
      </c>
      <c r="L192" s="11">
        <v>0.56942853802233273</v>
      </c>
    </row>
    <row r="193" spans="1:12" x14ac:dyDescent="0.3">
      <c r="A193">
        <v>92</v>
      </c>
      <c r="B193">
        <v>3.1402714408962207</v>
      </c>
      <c r="C193">
        <v>0.35972855910377932</v>
      </c>
      <c r="J193">
        <v>190</v>
      </c>
      <c r="K193" s="11">
        <v>3.3891265679961453</v>
      </c>
      <c r="L193" s="11">
        <v>0.61087343200385469</v>
      </c>
    </row>
    <row r="194" spans="1:12" x14ac:dyDescent="0.3">
      <c r="A194">
        <v>93</v>
      </c>
      <c r="B194">
        <v>1.5895214459973688</v>
      </c>
      <c r="C194">
        <v>-0.58952144599736878</v>
      </c>
      <c r="J194">
        <v>191</v>
      </c>
      <c r="K194" s="11">
        <v>2.5103371538405339</v>
      </c>
      <c r="L194" s="11">
        <v>-1.0103371538405339</v>
      </c>
    </row>
    <row r="195" spans="1:12" x14ac:dyDescent="0.3">
      <c r="A195">
        <v>94</v>
      </c>
      <c r="B195">
        <v>2.5686987127883407</v>
      </c>
      <c r="C195">
        <v>1.7313012872116591</v>
      </c>
      <c r="J195">
        <v>192</v>
      </c>
      <c r="K195" s="11">
        <v>2.8920032218801559</v>
      </c>
      <c r="L195" s="11">
        <v>1.2979967781198445</v>
      </c>
    </row>
    <row r="196" spans="1:12" x14ac:dyDescent="0.3">
      <c r="A196">
        <v>95</v>
      </c>
      <c r="B196">
        <v>3.164357163636585</v>
      </c>
      <c r="C196">
        <v>8.5642836363414965E-2</v>
      </c>
      <c r="J196">
        <v>193</v>
      </c>
      <c r="K196" s="11">
        <v>3.6914639420699467</v>
      </c>
      <c r="L196" s="11">
        <v>-1.1314639420699466</v>
      </c>
    </row>
    <row r="197" spans="1:12" x14ac:dyDescent="0.3">
      <c r="A197">
        <v>96</v>
      </c>
      <c r="B197">
        <v>5.1627932193514532</v>
      </c>
      <c r="C197">
        <v>-0.43279321935145276</v>
      </c>
      <c r="J197">
        <v>194</v>
      </c>
      <c r="K197" s="11">
        <v>2.4908833008579321</v>
      </c>
      <c r="L197" s="11">
        <v>-0.47088330085793206</v>
      </c>
    </row>
    <row r="198" spans="1:12" x14ac:dyDescent="0.3">
      <c r="A198">
        <v>97</v>
      </c>
      <c r="B198">
        <v>3.584004563689859</v>
      </c>
      <c r="C198">
        <v>0.41599543631014102</v>
      </c>
      <c r="J198">
        <v>195</v>
      </c>
      <c r="K198" s="11">
        <v>2.5927844355287046</v>
      </c>
      <c r="L198" s="11">
        <v>1.4072155644712954</v>
      </c>
    </row>
    <row r="199" spans="1:12" x14ac:dyDescent="0.3">
      <c r="A199">
        <v>98</v>
      </c>
      <c r="B199">
        <v>2.1712842875723259</v>
      </c>
      <c r="C199">
        <v>-0.67128428757232594</v>
      </c>
      <c r="J199">
        <v>196</v>
      </c>
      <c r="K199" s="11">
        <v>1.7571951312283676</v>
      </c>
      <c r="L199" s="11">
        <v>-0.31719513122836762</v>
      </c>
    </row>
    <row r="200" spans="1:12" x14ac:dyDescent="0.3">
      <c r="A200">
        <v>99</v>
      </c>
      <c r="B200">
        <v>3.003168096066454</v>
      </c>
      <c r="C200">
        <v>-3.1680960664539626E-3</v>
      </c>
      <c r="J200">
        <v>197</v>
      </c>
      <c r="K200" s="11">
        <v>2.0147270897599574</v>
      </c>
      <c r="L200" s="11">
        <v>-1.4727089759957401E-2</v>
      </c>
    </row>
    <row r="201" spans="1:12" x14ac:dyDescent="0.3">
      <c r="A201">
        <v>100</v>
      </c>
      <c r="B201">
        <v>2.2111183674890831</v>
      </c>
      <c r="C201">
        <v>-0.71111836748908308</v>
      </c>
      <c r="J201">
        <v>198</v>
      </c>
      <c r="K201" s="11">
        <v>5.4351471611078814</v>
      </c>
      <c r="L201" s="11">
        <v>-0.43514716110788143</v>
      </c>
    </row>
    <row r="202" spans="1:12" x14ac:dyDescent="0.3">
      <c r="A202">
        <v>101</v>
      </c>
      <c r="B202">
        <v>2.1082908588667575</v>
      </c>
      <c r="C202">
        <v>0.39170914113324251</v>
      </c>
      <c r="J202">
        <v>199</v>
      </c>
      <c r="K202" s="11">
        <v>2.261142560872917</v>
      </c>
      <c r="L202" s="11">
        <v>-0.26114256087291698</v>
      </c>
    </row>
    <row r="203" spans="1:12" x14ac:dyDescent="0.3">
      <c r="A203">
        <v>102</v>
      </c>
      <c r="B203">
        <v>2.4816195613424075</v>
      </c>
      <c r="C203">
        <v>0.51838043865759253</v>
      </c>
      <c r="J203">
        <v>200</v>
      </c>
      <c r="K203" s="11">
        <v>2.3083876324020931</v>
      </c>
      <c r="L203" s="11">
        <v>-0.3083876324020931</v>
      </c>
    </row>
    <row r="204" spans="1:12" x14ac:dyDescent="0.3">
      <c r="A204">
        <v>103</v>
      </c>
      <c r="B204">
        <v>5.3530393452874039</v>
      </c>
      <c r="C204">
        <v>-2.8530393452874039</v>
      </c>
      <c r="J204">
        <v>201</v>
      </c>
      <c r="K204" s="11">
        <v>2.9824484032646064</v>
      </c>
      <c r="L204" s="11">
        <v>1.0175515967353936</v>
      </c>
    </row>
    <row r="205" spans="1:12" x14ac:dyDescent="0.3">
      <c r="A205">
        <v>104</v>
      </c>
      <c r="B205">
        <v>3.1337868232353534</v>
      </c>
      <c r="C205">
        <v>0.34621317676464658</v>
      </c>
      <c r="J205">
        <v>202</v>
      </c>
      <c r="K205" s="11">
        <v>2.2370568381325526</v>
      </c>
      <c r="L205" s="11">
        <v>-0.22705683813255284</v>
      </c>
    </row>
    <row r="206" spans="1:12" x14ac:dyDescent="0.3">
      <c r="A206">
        <v>105</v>
      </c>
      <c r="B206">
        <v>2.9948307305024815</v>
      </c>
      <c r="C206">
        <v>1.0851692694975186</v>
      </c>
      <c r="J206">
        <v>203</v>
      </c>
      <c r="K206" s="11">
        <v>2.5761097044007601</v>
      </c>
      <c r="L206" s="11">
        <v>-7.6109704400760148E-2</v>
      </c>
    </row>
    <row r="207" spans="1:12" x14ac:dyDescent="0.3">
      <c r="A207">
        <v>106</v>
      </c>
      <c r="B207">
        <v>2.4797668134393023</v>
      </c>
      <c r="C207">
        <v>-0.83976681343930237</v>
      </c>
      <c r="J207">
        <v>204</v>
      </c>
      <c r="K207" s="11">
        <v>3.3433947785023812</v>
      </c>
      <c r="L207" s="11">
        <v>0.6566052214976188</v>
      </c>
    </row>
    <row r="208" spans="1:12" x14ac:dyDescent="0.3">
      <c r="A208">
        <v>107</v>
      </c>
      <c r="B208">
        <v>2.9549966505857244</v>
      </c>
      <c r="C208">
        <v>1.1050033494142752</v>
      </c>
      <c r="J208">
        <v>205</v>
      </c>
      <c r="K208" s="11">
        <v>2.7749406381168509</v>
      </c>
      <c r="L208" s="11">
        <v>0.4550593618831491</v>
      </c>
    </row>
    <row r="209" spans="1:12" x14ac:dyDescent="0.3">
      <c r="A209">
        <v>108</v>
      </c>
      <c r="B209">
        <v>3.3922451557184954</v>
      </c>
      <c r="C209">
        <v>0.89775484428150465</v>
      </c>
      <c r="J209">
        <v>206</v>
      </c>
      <c r="K209" s="11">
        <v>3.7124310770879605</v>
      </c>
      <c r="L209" s="11">
        <v>-0.30243107708796035</v>
      </c>
    </row>
    <row r="210" spans="1:12" x14ac:dyDescent="0.3">
      <c r="A210">
        <v>109</v>
      </c>
      <c r="B210">
        <v>2.7465625114864167</v>
      </c>
      <c r="C210">
        <v>1.0134374885135831</v>
      </c>
      <c r="J210">
        <v>207</v>
      </c>
      <c r="K210" s="11">
        <v>5.0293953703278955</v>
      </c>
      <c r="L210" s="11">
        <v>-2.0293953703278955</v>
      </c>
    </row>
    <row r="211" spans="1:12" x14ac:dyDescent="0.3">
      <c r="A211">
        <v>110</v>
      </c>
      <c r="B211">
        <v>2.3824975485262918</v>
      </c>
      <c r="C211">
        <v>1.6175024514737082</v>
      </c>
      <c r="J211">
        <v>208</v>
      </c>
      <c r="K211" s="11">
        <v>3.3051660042725621</v>
      </c>
      <c r="L211" s="11">
        <v>-1.2751660042725623</v>
      </c>
    </row>
    <row r="212" spans="1:12" x14ac:dyDescent="0.3">
      <c r="A212">
        <v>111</v>
      </c>
      <c r="B212">
        <v>2.3537799560281649</v>
      </c>
      <c r="C212">
        <v>0.64622004397183508</v>
      </c>
      <c r="J212">
        <v>209</v>
      </c>
      <c r="K212" s="11">
        <v>2.2389095860356574</v>
      </c>
      <c r="L212" s="11">
        <v>-8.9095860356573908E-3</v>
      </c>
    </row>
    <row r="213" spans="1:12" x14ac:dyDescent="0.3">
      <c r="A213">
        <v>112</v>
      </c>
      <c r="B213">
        <v>1.5361312226750172</v>
      </c>
      <c r="C213">
        <v>-0.53613122267501723</v>
      </c>
      <c r="J213">
        <v>210</v>
      </c>
      <c r="K213" s="11">
        <v>4.0338828382766714</v>
      </c>
      <c r="L213" s="11">
        <v>-2.0338828382766714</v>
      </c>
    </row>
    <row r="214" spans="1:12" x14ac:dyDescent="0.3">
      <c r="A214">
        <v>113</v>
      </c>
      <c r="B214">
        <v>4.7759083734702088</v>
      </c>
      <c r="C214">
        <v>-0.7759083734702088</v>
      </c>
      <c r="J214">
        <v>211</v>
      </c>
      <c r="K214" s="11">
        <v>3.8399312165345107</v>
      </c>
      <c r="L214" s="11">
        <v>1.3200687834654894</v>
      </c>
    </row>
    <row r="215" spans="1:12" x14ac:dyDescent="0.3">
      <c r="A215">
        <v>114</v>
      </c>
      <c r="B215">
        <v>3.2755220378228826</v>
      </c>
      <c r="C215">
        <v>-0.72552203782288283</v>
      </c>
      <c r="J215">
        <v>212</v>
      </c>
      <c r="K215" s="11">
        <v>5.9187143638182764</v>
      </c>
      <c r="L215" s="11">
        <v>3.0812856361817236</v>
      </c>
    </row>
    <row r="216" spans="1:12" x14ac:dyDescent="0.3">
      <c r="A216">
        <v>115</v>
      </c>
      <c r="B216">
        <v>3.6309101693513428</v>
      </c>
      <c r="C216">
        <v>0.36908983064865719</v>
      </c>
      <c r="J216">
        <v>213</v>
      </c>
      <c r="K216" s="11">
        <v>2.2861546575648339</v>
      </c>
      <c r="L216" s="11">
        <v>0.21384534243516606</v>
      </c>
    </row>
    <row r="217" spans="1:12" x14ac:dyDescent="0.3">
      <c r="A217">
        <v>116</v>
      </c>
      <c r="B217">
        <v>2.6604097339920356</v>
      </c>
      <c r="C217">
        <v>0.83959026600796438</v>
      </c>
      <c r="J217">
        <v>214</v>
      </c>
      <c r="K217" s="11">
        <v>3.8587981614332527</v>
      </c>
      <c r="L217" s="11">
        <v>2.6412018385667473</v>
      </c>
    </row>
    <row r="218" spans="1:12" x14ac:dyDescent="0.3">
      <c r="A218">
        <v>117</v>
      </c>
      <c r="B218">
        <v>4.2141862929617124</v>
      </c>
      <c r="C218">
        <v>0.85581370703828785</v>
      </c>
      <c r="J218">
        <v>215</v>
      </c>
      <c r="K218" s="11">
        <v>2.2518788213573924</v>
      </c>
      <c r="L218" s="11">
        <v>-1.1518788213573923</v>
      </c>
    </row>
    <row r="219" spans="1:12" x14ac:dyDescent="0.3">
      <c r="A219">
        <v>118</v>
      </c>
      <c r="B219">
        <v>2.0434446822580838</v>
      </c>
      <c r="C219">
        <v>-0.54344468225808384</v>
      </c>
      <c r="J219">
        <v>216</v>
      </c>
      <c r="K219" s="11">
        <v>4.2416380456405944</v>
      </c>
      <c r="L219" s="11">
        <v>-1.2416380456405944</v>
      </c>
    </row>
    <row r="220" spans="1:12" x14ac:dyDescent="0.3">
      <c r="A220">
        <v>119</v>
      </c>
      <c r="B220">
        <v>2.2083392456344253</v>
      </c>
      <c r="C220">
        <v>-0.40833924563442525</v>
      </c>
      <c r="J220">
        <v>217</v>
      </c>
      <c r="K220" s="11">
        <v>2.1305238337040171</v>
      </c>
      <c r="L220" s="11">
        <v>-0.6305238337040171</v>
      </c>
    </row>
    <row r="221" spans="1:12" x14ac:dyDescent="0.3">
      <c r="A221">
        <v>120</v>
      </c>
      <c r="B221">
        <v>3.6722575313035115</v>
      </c>
      <c r="C221">
        <v>-0.75225753130351158</v>
      </c>
      <c r="J221">
        <v>218</v>
      </c>
      <c r="K221" s="11">
        <v>1.7738698623563123</v>
      </c>
      <c r="L221" s="11">
        <v>-0.33386986235631233</v>
      </c>
    </row>
    <row r="222" spans="1:12" x14ac:dyDescent="0.3">
      <c r="A222">
        <v>121</v>
      </c>
      <c r="B222">
        <v>2.1397875732195422</v>
      </c>
      <c r="C222">
        <v>0.17021242678045789</v>
      </c>
      <c r="J222">
        <v>219</v>
      </c>
      <c r="K222" s="11">
        <v>4.2336401459443147</v>
      </c>
      <c r="L222" s="11">
        <v>-1.1436401459443148</v>
      </c>
    </row>
    <row r="223" spans="1:12" x14ac:dyDescent="0.3">
      <c r="A223">
        <v>122</v>
      </c>
      <c r="B223">
        <v>2.3000502668381211</v>
      </c>
      <c r="C223">
        <v>-0.62005026683812114</v>
      </c>
      <c r="J223">
        <v>220</v>
      </c>
      <c r="K223" s="11">
        <v>2.1833271489425083</v>
      </c>
      <c r="L223" s="11">
        <v>1.6672851057491833E-2</v>
      </c>
    </row>
    <row r="224" spans="1:12" x14ac:dyDescent="0.3">
      <c r="A224">
        <v>123</v>
      </c>
      <c r="B224">
        <v>2.3778656787685293</v>
      </c>
      <c r="C224">
        <v>0.12213432123147072</v>
      </c>
      <c r="J224">
        <v>221</v>
      </c>
      <c r="K224" s="11">
        <v>2.3000502668381211</v>
      </c>
      <c r="L224" s="11">
        <v>1.1799497331618789</v>
      </c>
    </row>
    <row r="225" spans="1:12" x14ac:dyDescent="0.3">
      <c r="A225">
        <v>124</v>
      </c>
      <c r="B225">
        <v>2.5344228765808987</v>
      </c>
      <c r="C225">
        <v>-0.53442287658089871</v>
      </c>
      <c r="J225">
        <v>222</v>
      </c>
      <c r="K225" s="11">
        <v>1.6593389582314972</v>
      </c>
      <c r="L225" s="11">
        <v>0.26066104176850269</v>
      </c>
    </row>
    <row r="226" spans="1:12" x14ac:dyDescent="0.3">
      <c r="A226">
        <v>125</v>
      </c>
      <c r="B226">
        <v>2.2129711153921878</v>
      </c>
      <c r="C226">
        <v>0.30702888460781219</v>
      </c>
      <c r="J226">
        <v>223</v>
      </c>
      <c r="K226" s="11">
        <v>2.7295483144907795</v>
      </c>
      <c r="L226" s="11">
        <v>0.2704516855092205</v>
      </c>
    </row>
    <row r="227" spans="1:12" x14ac:dyDescent="0.3">
      <c r="A227">
        <v>126</v>
      </c>
      <c r="B227">
        <v>4.5868360637019769</v>
      </c>
      <c r="C227">
        <v>-0.38683606370197676</v>
      </c>
      <c r="J227">
        <v>224</v>
      </c>
      <c r="K227" s="11">
        <v>2.3000502668381211</v>
      </c>
      <c r="L227" s="11">
        <v>-0.72005026683812101</v>
      </c>
    </row>
    <row r="228" spans="1:12" x14ac:dyDescent="0.3">
      <c r="A228">
        <v>127</v>
      </c>
      <c r="B228">
        <v>1.8461270305774056</v>
      </c>
      <c r="C228">
        <v>-0.36612703057740559</v>
      </c>
      <c r="J228">
        <v>225</v>
      </c>
      <c r="K228" s="11">
        <v>2.5640668430305782</v>
      </c>
      <c r="L228" s="11">
        <v>-6.4066843030578191E-2</v>
      </c>
    </row>
    <row r="229" spans="1:12" x14ac:dyDescent="0.3">
      <c r="A229">
        <v>128</v>
      </c>
      <c r="B229">
        <v>2.4019514015088941</v>
      </c>
      <c r="C229">
        <v>-0.40195140150889408</v>
      </c>
      <c r="J229">
        <v>226</v>
      </c>
      <c r="K229" s="11">
        <v>1.9915677409711452</v>
      </c>
      <c r="L229" s="11">
        <v>8.4322590288548049E-3</v>
      </c>
    </row>
    <row r="230" spans="1:12" x14ac:dyDescent="0.3">
      <c r="A230">
        <v>129</v>
      </c>
      <c r="B230">
        <v>2.1110699807214153</v>
      </c>
      <c r="C230">
        <v>-0.11106998072141527</v>
      </c>
      <c r="J230">
        <v>227</v>
      </c>
      <c r="K230" s="11">
        <v>3.3359837868899609</v>
      </c>
      <c r="L230" s="11">
        <v>-0.33598378688996089</v>
      </c>
    </row>
    <row r="231" spans="1:12" x14ac:dyDescent="0.3">
      <c r="A231">
        <v>130</v>
      </c>
      <c r="B231">
        <v>3.3631880973526762</v>
      </c>
      <c r="C231">
        <v>-1.183188097352676</v>
      </c>
      <c r="J231">
        <v>228</v>
      </c>
      <c r="K231" s="11">
        <v>2.2870810315163865</v>
      </c>
      <c r="L231" s="11">
        <v>0.43291896848361366</v>
      </c>
    </row>
    <row r="232" spans="1:12" x14ac:dyDescent="0.3">
      <c r="A232">
        <v>131</v>
      </c>
      <c r="B232">
        <v>2.8243779234168249</v>
      </c>
      <c r="C232">
        <v>-1.3243779234168249</v>
      </c>
      <c r="J232">
        <v>229</v>
      </c>
      <c r="K232" s="11">
        <v>3.1059956046887791</v>
      </c>
      <c r="L232" s="11">
        <v>-0.22599560468877922</v>
      </c>
    </row>
    <row r="233" spans="1:12" x14ac:dyDescent="0.3">
      <c r="A233">
        <v>132</v>
      </c>
      <c r="B233">
        <v>2.9346164236515699</v>
      </c>
      <c r="C233">
        <v>-0.10461642365156987</v>
      </c>
      <c r="J233">
        <v>230</v>
      </c>
      <c r="K233" s="11">
        <v>3.6657729136426442</v>
      </c>
      <c r="L233" s="11">
        <v>-1.6657729136426442</v>
      </c>
    </row>
    <row r="234" spans="1:12" x14ac:dyDescent="0.3">
      <c r="A234">
        <v>133</v>
      </c>
      <c r="B234">
        <v>2.091616127738813</v>
      </c>
      <c r="C234">
        <v>-0.591616127738813</v>
      </c>
      <c r="J234">
        <v>231</v>
      </c>
      <c r="K234" s="11">
        <v>2.7026834698957574</v>
      </c>
      <c r="L234" s="11">
        <v>0.29731653010424264</v>
      </c>
    </row>
    <row r="235" spans="1:12" x14ac:dyDescent="0.3">
      <c r="A235">
        <v>134</v>
      </c>
      <c r="B235">
        <v>2.1925908884580334</v>
      </c>
      <c r="C235">
        <v>-0.1925908884580334</v>
      </c>
      <c r="J235">
        <v>232</v>
      </c>
      <c r="K235" s="11">
        <v>2.1323765816071223</v>
      </c>
      <c r="L235" s="11">
        <v>1.2576234183928778</v>
      </c>
    </row>
    <row r="236" spans="1:12" x14ac:dyDescent="0.3">
      <c r="A236">
        <v>135</v>
      </c>
      <c r="B236">
        <v>2.7484152593895219</v>
      </c>
      <c r="C236">
        <v>0.50158474061047809</v>
      </c>
      <c r="J236">
        <v>233</v>
      </c>
      <c r="K236" s="11">
        <v>2.0545611696767137</v>
      </c>
      <c r="L236" s="11">
        <v>-0.58456116967671368</v>
      </c>
    </row>
    <row r="237" spans="1:12" x14ac:dyDescent="0.3">
      <c r="A237">
        <v>136</v>
      </c>
      <c r="B237">
        <v>1.8452006566258532</v>
      </c>
      <c r="C237">
        <v>-0.5952006566258532</v>
      </c>
      <c r="J237">
        <v>234</v>
      </c>
      <c r="K237" s="11">
        <v>2.4955151706156942</v>
      </c>
      <c r="L237" s="11">
        <v>0.50448482938430583</v>
      </c>
    </row>
    <row r="238" spans="1:12" x14ac:dyDescent="0.3">
      <c r="A238">
        <v>137</v>
      </c>
      <c r="B238">
        <v>2.0138007158084048</v>
      </c>
      <c r="C238">
        <v>-1.3800715808404806E-2</v>
      </c>
      <c r="J238">
        <v>235</v>
      </c>
      <c r="K238" s="11">
        <v>1.9897149930680402</v>
      </c>
      <c r="L238" s="11">
        <v>-0.73971499306804023</v>
      </c>
    </row>
    <row r="239" spans="1:12" x14ac:dyDescent="0.3">
      <c r="A239">
        <v>138</v>
      </c>
      <c r="B239">
        <v>2.3676755653014521</v>
      </c>
      <c r="C239">
        <v>-0.36767556530145207</v>
      </c>
      <c r="J239">
        <v>236</v>
      </c>
      <c r="K239" s="11">
        <v>2.2240876028108176</v>
      </c>
      <c r="L239" s="11">
        <v>-1.2240876028108176</v>
      </c>
    </row>
    <row r="240" spans="1:12" x14ac:dyDescent="0.3">
      <c r="A240">
        <v>139</v>
      </c>
      <c r="B240">
        <v>2.5390547463386612</v>
      </c>
      <c r="C240">
        <v>-0.53905474633866124</v>
      </c>
      <c r="J240">
        <v>237</v>
      </c>
      <c r="K240" s="11">
        <v>4.0981421068014852</v>
      </c>
      <c r="L240" s="11">
        <v>-2.9281421068014852</v>
      </c>
    </row>
    <row r="241" spans="1:12" x14ac:dyDescent="0.3">
      <c r="A241">
        <v>140</v>
      </c>
      <c r="B241">
        <v>2.2759645440977563</v>
      </c>
      <c r="C241">
        <v>0.47403545590224372</v>
      </c>
      <c r="J241">
        <v>238</v>
      </c>
      <c r="K241" s="11">
        <v>4.5684006083224524</v>
      </c>
      <c r="L241" s="11">
        <v>0.1015993916775475</v>
      </c>
    </row>
    <row r="242" spans="1:12" x14ac:dyDescent="0.3">
      <c r="A242">
        <v>141</v>
      </c>
      <c r="B242">
        <v>2.6752317172168754</v>
      </c>
      <c r="C242">
        <v>0.82476828278312464</v>
      </c>
      <c r="J242">
        <v>239</v>
      </c>
      <c r="K242" s="11">
        <v>3.9384663212667661</v>
      </c>
      <c r="L242" s="11">
        <v>1.9815336787332338</v>
      </c>
    </row>
    <row r="243" spans="1:12" x14ac:dyDescent="0.3">
      <c r="A243">
        <v>142</v>
      </c>
      <c r="B243">
        <v>5.0037043419005931</v>
      </c>
      <c r="C243">
        <v>1.6962956580994071</v>
      </c>
      <c r="J243">
        <v>240</v>
      </c>
      <c r="K243" s="11">
        <v>3.5747408241743339</v>
      </c>
      <c r="L243" s="11">
        <v>-1.5747408241743339</v>
      </c>
    </row>
    <row r="244" spans="1:12" x14ac:dyDescent="0.3">
      <c r="A244">
        <v>143</v>
      </c>
      <c r="B244">
        <v>5.4496296784650289</v>
      </c>
      <c r="C244">
        <v>-0.44962967846502888</v>
      </c>
      <c r="J244">
        <v>241</v>
      </c>
      <c r="K244" s="11">
        <v>3.1569461720241656</v>
      </c>
      <c r="L244" s="11">
        <v>-1.1569461720241656</v>
      </c>
    </row>
    <row r="245" spans="1:12" x14ac:dyDescent="0.3">
      <c r="A245">
        <v>144</v>
      </c>
      <c r="B245">
        <v>4.3320832270250449</v>
      </c>
      <c r="C245">
        <v>0.66791677297495511</v>
      </c>
      <c r="J245">
        <v>242</v>
      </c>
      <c r="K245" s="11">
        <v>2.7076548055212122</v>
      </c>
      <c r="L245" s="11">
        <v>-0.95765480552121218</v>
      </c>
    </row>
    <row r="246" spans="1:12" ht="15" thickBot="1" x14ac:dyDescent="0.35">
      <c r="A246">
        <v>145</v>
      </c>
      <c r="B246">
        <v>2.5788888262554179</v>
      </c>
      <c r="C246">
        <v>-0.27888882625541811</v>
      </c>
      <c r="J246" s="16">
        <v>243</v>
      </c>
      <c r="K246" s="34">
        <v>2.7965867048702506</v>
      </c>
      <c r="L246" s="34">
        <v>0.20341329512974937</v>
      </c>
    </row>
    <row r="247" spans="1:12" x14ac:dyDescent="0.3">
      <c r="A247">
        <v>146</v>
      </c>
      <c r="B247">
        <v>1.8303786734010137</v>
      </c>
      <c r="C247">
        <v>-0.33037867340101368</v>
      </c>
    </row>
    <row r="248" spans="1:12" x14ac:dyDescent="0.3">
      <c r="A248">
        <v>147</v>
      </c>
      <c r="B248">
        <v>2.9759637856037391</v>
      </c>
      <c r="C248">
        <v>-1.615963785603739</v>
      </c>
    </row>
    <row r="249" spans="1:12" x14ac:dyDescent="0.3">
      <c r="A249">
        <v>148</v>
      </c>
      <c r="B249">
        <v>2.1564623043474866</v>
      </c>
      <c r="C249">
        <v>-0.52646230434748675</v>
      </c>
    </row>
    <row r="250" spans="1:12" x14ac:dyDescent="0.3">
      <c r="A250">
        <v>149</v>
      </c>
      <c r="B250">
        <v>1.9628501484730183</v>
      </c>
      <c r="C250">
        <v>-0.23285014847301833</v>
      </c>
    </row>
    <row r="251" spans="1:12" x14ac:dyDescent="0.3">
      <c r="A251">
        <v>150</v>
      </c>
      <c r="B251">
        <v>1.752563261470605</v>
      </c>
      <c r="C251">
        <v>0.24743673852939496</v>
      </c>
    </row>
    <row r="252" spans="1:12" x14ac:dyDescent="0.3">
      <c r="A252">
        <v>151</v>
      </c>
      <c r="B252">
        <v>2.3602645736890322</v>
      </c>
      <c r="C252">
        <v>0.1397354263109678</v>
      </c>
    </row>
    <row r="253" spans="1:12" x14ac:dyDescent="0.3">
      <c r="A253">
        <v>152</v>
      </c>
      <c r="B253">
        <v>2.2731854222430989</v>
      </c>
      <c r="C253">
        <v>-0.27318542224309894</v>
      </c>
    </row>
    <row r="254" spans="1:12" x14ac:dyDescent="0.3">
      <c r="A254">
        <v>153</v>
      </c>
      <c r="B254">
        <v>2.848124180289497</v>
      </c>
      <c r="C254">
        <v>-0.10812418028949677</v>
      </c>
    </row>
    <row r="255" spans="1:12" x14ac:dyDescent="0.3">
      <c r="A255">
        <v>154</v>
      </c>
      <c r="B255">
        <v>3.7157971070264781</v>
      </c>
      <c r="C255">
        <v>-1.7157971070264781</v>
      </c>
    </row>
    <row r="256" spans="1:12" x14ac:dyDescent="0.3">
      <c r="A256">
        <v>155</v>
      </c>
      <c r="B256">
        <v>3.2729903581843924</v>
      </c>
      <c r="C256">
        <v>-1.2729903581843924</v>
      </c>
    </row>
    <row r="257" spans="1:3" x14ac:dyDescent="0.3">
      <c r="A257">
        <v>156</v>
      </c>
      <c r="B257">
        <v>4.399121617404516</v>
      </c>
      <c r="C257">
        <v>0.74087838259548366</v>
      </c>
    </row>
    <row r="258" spans="1:3" x14ac:dyDescent="0.3">
      <c r="A258">
        <v>157</v>
      </c>
      <c r="B258">
        <v>6.2885850127038836</v>
      </c>
      <c r="C258">
        <v>-1.2885850127038836</v>
      </c>
    </row>
    <row r="259" spans="1:3" x14ac:dyDescent="0.3">
      <c r="A259">
        <v>158</v>
      </c>
      <c r="B259">
        <v>3.7574839348463396</v>
      </c>
      <c r="C259">
        <v>-7.4839348463395794E-3</v>
      </c>
    </row>
    <row r="260" spans="1:3" x14ac:dyDescent="0.3">
      <c r="A260">
        <v>159</v>
      </c>
      <c r="B260">
        <v>2.2972711449834637</v>
      </c>
      <c r="C260">
        <v>0.31272885501653613</v>
      </c>
    </row>
    <row r="261" spans="1:3" x14ac:dyDescent="0.3">
      <c r="A261">
        <v>160</v>
      </c>
      <c r="B261">
        <v>2.9691397020751786</v>
      </c>
      <c r="C261">
        <v>-0.96913970207517863</v>
      </c>
    </row>
    <row r="262" spans="1:3" x14ac:dyDescent="0.3">
      <c r="A262">
        <v>161</v>
      </c>
      <c r="B262">
        <v>3.4332530518029714</v>
      </c>
      <c r="C262">
        <v>6.6746948197028644E-2</v>
      </c>
    </row>
    <row r="263" spans="1:3" x14ac:dyDescent="0.3">
      <c r="A263">
        <v>162</v>
      </c>
      <c r="B263">
        <v>2.2296458465201328</v>
      </c>
      <c r="C263">
        <v>0.27035415347986724</v>
      </c>
    </row>
    <row r="264" spans="1:3" x14ac:dyDescent="0.3">
      <c r="A264">
        <v>163</v>
      </c>
      <c r="B264">
        <v>2.7508549153764865</v>
      </c>
      <c r="C264">
        <v>-0.75085491537648652</v>
      </c>
    </row>
    <row r="265" spans="1:3" x14ac:dyDescent="0.3">
      <c r="A265">
        <v>164</v>
      </c>
      <c r="B265">
        <v>2.3361788509486678</v>
      </c>
      <c r="C265">
        <v>-0.33617885094866784</v>
      </c>
    </row>
    <row r="266" spans="1:3" x14ac:dyDescent="0.3">
      <c r="A266">
        <v>165</v>
      </c>
      <c r="B266">
        <v>2.6789372130230857</v>
      </c>
      <c r="C266">
        <v>0.32106278697691426</v>
      </c>
    </row>
    <row r="267" spans="1:3" x14ac:dyDescent="0.3">
      <c r="A267">
        <v>166</v>
      </c>
      <c r="B267">
        <v>3.5206716691165978</v>
      </c>
      <c r="C267">
        <v>-4.0671669116597808E-2</v>
      </c>
    </row>
    <row r="268" spans="1:3" x14ac:dyDescent="0.3">
      <c r="A268">
        <v>167</v>
      </c>
      <c r="B268">
        <v>2.9800087472776418</v>
      </c>
      <c r="C268">
        <v>-0.74000874727764154</v>
      </c>
    </row>
    <row r="269" spans="1:3" x14ac:dyDescent="0.3">
      <c r="A269">
        <v>168</v>
      </c>
      <c r="B269">
        <v>4.3790808563380548</v>
      </c>
      <c r="C269">
        <v>0.12091914366194523</v>
      </c>
    </row>
    <row r="270" spans="1:3" x14ac:dyDescent="0.3">
      <c r="A270">
        <v>169</v>
      </c>
      <c r="B270">
        <v>2.0378864385487692</v>
      </c>
      <c r="C270">
        <v>-0.42788643854876907</v>
      </c>
    </row>
    <row r="271" spans="1:3" x14ac:dyDescent="0.3">
      <c r="A271">
        <v>170</v>
      </c>
      <c r="B271">
        <v>2.0415919343549791</v>
      </c>
      <c r="C271">
        <v>-4.1591934354979099E-2</v>
      </c>
    </row>
    <row r="272" spans="1:3" x14ac:dyDescent="0.3">
      <c r="A272">
        <v>171</v>
      </c>
      <c r="B272">
        <v>5.956108787748069</v>
      </c>
      <c r="C272">
        <v>4.043891212251931</v>
      </c>
    </row>
    <row r="273" spans="1:3" x14ac:dyDescent="0.3">
      <c r="A273">
        <v>172</v>
      </c>
      <c r="B273">
        <v>2.5214536412591642</v>
      </c>
      <c r="C273">
        <v>0.63854635874083598</v>
      </c>
    </row>
    <row r="274" spans="1:3" x14ac:dyDescent="0.3">
      <c r="A274">
        <v>173</v>
      </c>
      <c r="B274">
        <v>1.7284775387302407</v>
      </c>
      <c r="C274">
        <v>3.4215224612697597</v>
      </c>
    </row>
    <row r="275" spans="1:3" x14ac:dyDescent="0.3">
      <c r="A275">
        <v>174</v>
      </c>
      <c r="B275">
        <v>4.0073574595493424</v>
      </c>
      <c r="C275">
        <v>-0.82735745954934226</v>
      </c>
    </row>
    <row r="276" spans="1:3" x14ac:dyDescent="0.3">
      <c r="A276">
        <v>175</v>
      </c>
      <c r="B276">
        <v>2.6150174103659642</v>
      </c>
      <c r="C276">
        <v>1.3849825896340358</v>
      </c>
    </row>
    <row r="277" spans="1:3" x14ac:dyDescent="0.3">
      <c r="A277">
        <v>176</v>
      </c>
      <c r="B277">
        <v>4.1046267244623529</v>
      </c>
      <c r="C277">
        <v>-0.99462672446235301</v>
      </c>
    </row>
    <row r="278" spans="1:3" x14ac:dyDescent="0.3">
      <c r="A278">
        <v>177</v>
      </c>
      <c r="B278">
        <v>2.7141394231820799</v>
      </c>
      <c r="C278">
        <v>-0.7141394231820799</v>
      </c>
    </row>
    <row r="279" spans="1:3" x14ac:dyDescent="0.3">
      <c r="A279">
        <v>178</v>
      </c>
      <c r="B279">
        <v>2.3982459057026841</v>
      </c>
      <c r="C279">
        <v>-0.39824590570268414</v>
      </c>
    </row>
    <row r="280" spans="1:3" x14ac:dyDescent="0.3">
      <c r="A280">
        <v>179</v>
      </c>
      <c r="B280">
        <v>1.9461754173450736</v>
      </c>
      <c r="C280">
        <v>2.0538245826549266</v>
      </c>
    </row>
    <row r="281" spans="1:3" x14ac:dyDescent="0.3">
      <c r="A281">
        <v>180</v>
      </c>
      <c r="B281">
        <v>4.2648894180809318</v>
      </c>
      <c r="C281">
        <v>-0.71488941808093198</v>
      </c>
    </row>
    <row r="282" spans="1:3" x14ac:dyDescent="0.3">
      <c r="A282">
        <v>181</v>
      </c>
      <c r="B282">
        <v>4.651434798094483</v>
      </c>
      <c r="C282">
        <v>-0.97143479809448285</v>
      </c>
    </row>
    <row r="283" spans="1:3" x14ac:dyDescent="0.3">
      <c r="A283">
        <v>182</v>
      </c>
      <c r="B283">
        <v>3.2180868528266289</v>
      </c>
      <c r="C283">
        <v>2.4319131471733715</v>
      </c>
    </row>
    <row r="284" spans="1:3" x14ac:dyDescent="0.3">
      <c r="A284">
        <v>183</v>
      </c>
      <c r="B284">
        <v>5.4503086102004143</v>
      </c>
      <c r="C284">
        <v>-1.9503086102004143</v>
      </c>
    </row>
    <row r="285" spans="1:3" x14ac:dyDescent="0.3">
      <c r="A285">
        <v>184</v>
      </c>
      <c r="B285">
        <v>3.587957501712236</v>
      </c>
      <c r="C285">
        <v>2.912042498287764</v>
      </c>
    </row>
    <row r="286" spans="1:3" x14ac:dyDescent="0.3">
      <c r="A286">
        <v>185</v>
      </c>
      <c r="B286">
        <v>4.8133027974000004</v>
      </c>
      <c r="C286">
        <v>-1.8133027974000004</v>
      </c>
    </row>
    <row r="287" spans="1:3" x14ac:dyDescent="0.3">
      <c r="A287">
        <v>186</v>
      </c>
      <c r="B287">
        <v>3.5505630777824444</v>
      </c>
      <c r="C287">
        <v>1.4494369222175556</v>
      </c>
    </row>
    <row r="288" spans="1:3" x14ac:dyDescent="0.3">
      <c r="A288">
        <v>187</v>
      </c>
      <c r="B288">
        <v>3.1853242986545993</v>
      </c>
      <c r="C288">
        <v>0.31467570134540068</v>
      </c>
    </row>
    <row r="289" spans="1:3" x14ac:dyDescent="0.3">
      <c r="A289">
        <v>188</v>
      </c>
      <c r="B289">
        <v>4.4556304284492176</v>
      </c>
      <c r="C289">
        <v>-2.4556304284492176</v>
      </c>
    </row>
    <row r="290" spans="1:3" x14ac:dyDescent="0.3">
      <c r="A290">
        <v>189</v>
      </c>
      <c r="B290">
        <v>2.9305714619776673</v>
      </c>
      <c r="C290">
        <v>0.56942853802233273</v>
      </c>
    </row>
    <row r="291" spans="1:3" x14ac:dyDescent="0.3">
      <c r="A291">
        <v>190</v>
      </c>
      <c r="B291">
        <v>3.3891265679961453</v>
      </c>
      <c r="C291">
        <v>0.61087343200385469</v>
      </c>
    </row>
    <row r="292" spans="1:3" x14ac:dyDescent="0.3">
      <c r="A292">
        <v>191</v>
      </c>
      <c r="B292">
        <v>2.5103371538405339</v>
      </c>
      <c r="C292">
        <v>-1.0103371538405339</v>
      </c>
    </row>
    <row r="293" spans="1:3" x14ac:dyDescent="0.3">
      <c r="A293">
        <v>192</v>
      </c>
      <c r="B293">
        <v>2.8920032218801559</v>
      </c>
      <c r="C293">
        <v>1.2979967781198445</v>
      </c>
    </row>
    <row r="294" spans="1:3" x14ac:dyDescent="0.3">
      <c r="A294">
        <v>193</v>
      </c>
      <c r="B294">
        <v>3.6914639420699467</v>
      </c>
      <c r="C294">
        <v>-1.1314639420699466</v>
      </c>
    </row>
    <row r="295" spans="1:3" x14ac:dyDescent="0.3">
      <c r="A295">
        <v>194</v>
      </c>
      <c r="B295">
        <v>2.4908833008579321</v>
      </c>
      <c r="C295">
        <v>-0.47088330085793206</v>
      </c>
    </row>
    <row r="296" spans="1:3" x14ac:dyDescent="0.3">
      <c r="A296">
        <v>195</v>
      </c>
      <c r="B296">
        <v>2.5927844355287046</v>
      </c>
      <c r="C296">
        <v>1.4072155644712954</v>
      </c>
    </row>
    <row r="297" spans="1:3" x14ac:dyDescent="0.3">
      <c r="A297">
        <v>196</v>
      </c>
      <c r="B297">
        <v>1.7571951312283676</v>
      </c>
      <c r="C297">
        <v>-0.31719513122836762</v>
      </c>
    </row>
    <row r="298" spans="1:3" x14ac:dyDescent="0.3">
      <c r="A298">
        <v>197</v>
      </c>
      <c r="B298">
        <v>2.0147270897599574</v>
      </c>
      <c r="C298">
        <v>-1.4727089759957401E-2</v>
      </c>
    </row>
    <row r="299" spans="1:3" x14ac:dyDescent="0.3">
      <c r="A299">
        <v>198</v>
      </c>
      <c r="B299">
        <v>5.4351471611078814</v>
      </c>
      <c r="C299">
        <v>-0.43514716110788143</v>
      </c>
    </row>
    <row r="300" spans="1:3" x14ac:dyDescent="0.3">
      <c r="A300">
        <v>199</v>
      </c>
      <c r="B300">
        <v>2.261142560872917</v>
      </c>
      <c r="C300">
        <v>-0.26114256087291698</v>
      </c>
    </row>
    <row r="301" spans="1:3" x14ac:dyDescent="0.3">
      <c r="A301">
        <v>200</v>
      </c>
      <c r="B301">
        <v>2.3083876324020931</v>
      </c>
      <c r="C301">
        <v>-0.3083876324020931</v>
      </c>
    </row>
    <row r="302" spans="1:3" x14ac:dyDescent="0.3">
      <c r="A302">
        <v>201</v>
      </c>
      <c r="B302">
        <v>2.9824484032646064</v>
      </c>
      <c r="C302">
        <v>1.0175515967353936</v>
      </c>
    </row>
    <row r="303" spans="1:3" x14ac:dyDescent="0.3">
      <c r="A303">
        <v>202</v>
      </c>
      <c r="B303">
        <v>2.2370568381325526</v>
      </c>
      <c r="C303">
        <v>-0.22705683813255284</v>
      </c>
    </row>
    <row r="304" spans="1:3" x14ac:dyDescent="0.3">
      <c r="A304">
        <v>203</v>
      </c>
      <c r="B304">
        <v>2.5761097044007601</v>
      </c>
      <c r="C304">
        <v>-7.6109704400760148E-2</v>
      </c>
    </row>
    <row r="305" spans="1:3" x14ac:dyDescent="0.3">
      <c r="A305">
        <v>204</v>
      </c>
      <c r="B305">
        <v>3.3433947785023812</v>
      </c>
      <c r="C305">
        <v>0.6566052214976188</v>
      </c>
    </row>
    <row r="306" spans="1:3" x14ac:dyDescent="0.3">
      <c r="A306">
        <v>205</v>
      </c>
      <c r="B306">
        <v>2.7749406381168509</v>
      </c>
      <c r="C306">
        <v>0.4550593618831491</v>
      </c>
    </row>
    <row r="307" spans="1:3" x14ac:dyDescent="0.3">
      <c r="A307">
        <v>206</v>
      </c>
      <c r="B307">
        <v>3.7124310770879605</v>
      </c>
      <c r="C307">
        <v>-0.30243107708796035</v>
      </c>
    </row>
    <row r="308" spans="1:3" x14ac:dyDescent="0.3">
      <c r="A308">
        <v>207</v>
      </c>
      <c r="B308">
        <v>5.0293953703278955</v>
      </c>
      <c r="C308">
        <v>-2.0293953703278955</v>
      </c>
    </row>
    <row r="309" spans="1:3" x14ac:dyDescent="0.3">
      <c r="A309">
        <v>208</v>
      </c>
      <c r="B309">
        <v>3.3051660042725621</v>
      </c>
      <c r="C309">
        <v>-1.2751660042725623</v>
      </c>
    </row>
    <row r="310" spans="1:3" x14ac:dyDescent="0.3">
      <c r="A310">
        <v>209</v>
      </c>
      <c r="B310">
        <v>2.2389095860356574</v>
      </c>
      <c r="C310">
        <v>-8.9095860356573908E-3</v>
      </c>
    </row>
    <row r="311" spans="1:3" x14ac:dyDescent="0.3">
      <c r="A311">
        <v>210</v>
      </c>
      <c r="B311">
        <v>4.0338828382766714</v>
      </c>
      <c r="C311">
        <v>-2.0338828382766714</v>
      </c>
    </row>
    <row r="312" spans="1:3" x14ac:dyDescent="0.3">
      <c r="A312">
        <v>211</v>
      </c>
      <c r="B312">
        <v>3.8399312165345107</v>
      </c>
      <c r="C312">
        <v>1.3200687834654894</v>
      </c>
    </row>
    <row r="313" spans="1:3" x14ac:dyDescent="0.3">
      <c r="A313">
        <v>212</v>
      </c>
      <c r="B313">
        <v>5.9187143638182764</v>
      </c>
      <c r="C313">
        <v>3.0812856361817236</v>
      </c>
    </row>
    <row r="314" spans="1:3" x14ac:dyDescent="0.3">
      <c r="A314">
        <v>213</v>
      </c>
      <c r="B314">
        <v>2.2861546575648339</v>
      </c>
      <c r="C314">
        <v>0.21384534243516606</v>
      </c>
    </row>
    <row r="315" spans="1:3" x14ac:dyDescent="0.3">
      <c r="A315">
        <v>214</v>
      </c>
      <c r="B315">
        <v>3.8587981614332527</v>
      </c>
      <c r="C315">
        <v>2.6412018385667473</v>
      </c>
    </row>
    <row r="316" spans="1:3" x14ac:dyDescent="0.3">
      <c r="A316">
        <v>215</v>
      </c>
      <c r="B316">
        <v>2.2518788213573924</v>
      </c>
      <c r="C316">
        <v>-1.1518788213573923</v>
      </c>
    </row>
    <row r="317" spans="1:3" x14ac:dyDescent="0.3">
      <c r="A317">
        <v>216</v>
      </c>
      <c r="B317">
        <v>4.2416380456405944</v>
      </c>
      <c r="C317">
        <v>-1.2416380456405944</v>
      </c>
    </row>
    <row r="318" spans="1:3" x14ac:dyDescent="0.3">
      <c r="A318">
        <v>217</v>
      </c>
      <c r="B318">
        <v>2.1305238337040171</v>
      </c>
      <c r="C318">
        <v>-0.6305238337040171</v>
      </c>
    </row>
    <row r="319" spans="1:3" x14ac:dyDescent="0.3">
      <c r="A319">
        <v>218</v>
      </c>
      <c r="B319">
        <v>1.7738698623563123</v>
      </c>
      <c r="C319">
        <v>-0.33386986235631233</v>
      </c>
    </row>
    <row r="320" spans="1:3" x14ac:dyDescent="0.3">
      <c r="A320">
        <v>219</v>
      </c>
      <c r="B320">
        <v>4.2336401459443147</v>
      </c>
      <c r="C320">
        <v>-1.1436401459443148</v>
      </c>
    </row>
    <row r="321" spans="1:3" x14ac:dyDescent="0.3">
      <c r="A321">
        <v>220</v>
      </c>
      <c r="B321">
        <v>2.1833271489425083</v>
      </c>
      <c r="C321">
        <v>1.6672851057491833E-2</v>
      </c>
    </row>
    <row r="322" spans="1:3" x14ac:dyDescent="0.3">
      <c r="A322">
        <v>221</v>
      </c>
      <c r="B322">
        <v>2.3000502668381211</v>
      </c>
      <c r="C322">
        <v>1.1799497331618789</v>
      </c>
    </row>
    <row r="323" spans="1:3" x14ac:dyDescent="0.3">
      <c r="A323">
        <v>222</v>
      </c>
      <c r="B323">
        <v>1.6593389582314972</v>
      </c>
      <c r="C323">
        <v>0.26066104176850269</v>
      </c>
    </row>
    <row r="324" spans="1:3" x14ac:dyDescent="0.3">
      <c r="A324">
        <v>223</v>
      </c>
      <c r="B324">
        <v>2.7295483144907795</v>
      </c>
      <c r="C324">
        <v>0.2704516855092205</v>
      </c>
    </row>
    <row r="325" spans="1:3" x14ac:dyDescent="0.3">
      <c r="A325">
        <v>224</v>
      </c>
      <c r="B325">
        <v>2.3000502668381211</v>
      </c>
      <c r="C325">
        <v>-0.72005026683812101</v>
      </c>
    </row>
    <row r="326" spans="1:3" x14ac:dyDescent="0.3">
      <c r="A326">
        <v>225</v>
      </c>
      <c r="B326">
        <v>2.5640668430305782</v>
      </c>
      <c r="C326">
        <v>-6.4066843030578191E-2</v>
      </c>
    </row>
    <row r="327" spans="1:3" x14ac:dyDescent="0.3">
      <c r="A327">
        <v>226</v>
      </c>
      <c r="B327">
        <v>1.9915677409711452</v>
      </c>
      <c r="C327">
        <v>8.4322590288548049E-3</v>
      </c>
    </row>
    <row r="328" spans="1:3" x14ac:dyDescent="0.3">
      <c r="A328">
        <v>227</v>
      </c>
      <c r="B328">
        <v>3.3359837868899609</v>
      </c>
      <c r="C328">
        <v>-0.33598378688996089</v>
      </c>
    </row>
    <row r="329" spans="1:3" x14ac:dyDescent="0.3">
      <c r="A329">
        <v>228</v>
      </c>
      <c r="B329">
        <v>2.2870810315163865</v>
      </c>
      <c r="C329">
        <v>0.43291896848361366</v>
      </c>
    </row>
    <row r="330" spans="1:3" x14ac:dyDescent="0.3">
      <c r="A330">
        <v>229</v>
      </c>
      <c r="B330">
        <v>3.1059956046887791</v>
      </c>
      <c r="C330">
        <v>-0.22599560468877922</v>
      </c>
    </row>
    <row r="331" spans="1:3" x14ac:dyDescent="0.3">
      <c r="A331">
        <v>230</v>
      </c>
      <c r="B331">
        <v>3.6657729136426442</v>
      </c>
      <c r="C331">
        <v>-1.6657729136426442</v>
      </c>
    </row>
    <row r="332" spans="1:3" x14ac:dyDescent="0.3">
      <c r="A332">
        <v>231</v>
      </c>
      <c r="B332">
        <v>2.7026834698957574</v>
      </c>
      <c r="C332">
        <v>0.29731653010424264</v>
      </c>
    </row>
    <row r="333" spans="1:3" x14ac:dyDescent="0.3">
      <c r="A333">
        <v>232</v>
      </c>
      <c r="B333">
        <v>2.1323765816071223</v>
      </c>
      <c r="C333">
        <v>1.2576234183928778</v>
      </c>
    </row>
    <row r="334" spans="1:3" x14ac:dyDescent="0.3">
      <c r="A334">
        <v>233</v>
      </c>
      <c r="B334">
        <v>2.0545611696767137</v>
      </c>
      <c r="C334">
        <v>-0.58456116967671368</v>
      </c>
    </row>
    <row r="335" spans="1:3" x14ac:dyDescent="0.3">
      <c r="A335">
        <v>234</v>
      </c>
      <c r="B335">
        <v>2.4955151706156942</v>
      </c>
      <c r="C335">
        <v>0.50448482938430583</v>
      </c>
    </row>
    <row r="336" spans="1:3" x14ac:dyDescent="0.3">
      <c r="A336">
        <v>235</v>
      </c>
      <c r="B336">
        <v>1.9897149930680402</v>
      </c>
      <c r="C336">
        <v>-0.73971499306804023</v>
      </c>
    </row>
    <row r="337" spans="1:6" x14ac:dyDescent="0.3">
      <c r="A337">
        <v>236</v>
      </c>
      <c r="B337">
        <v>2.2240876028108176</v>
      </c>
      <c r="C337">
        <v>-1.2240876028108176</v>
      </c>
    </row>
    <row r="338" spans="1:6" x14ac:dyDescent="0.3">
      <c r="A338">
        <v>237</v>
      </c>
      <c r="B338">
        <v>4.0981421068014852</v>
      </c>
      <c r="C338">
        <v>-2.9281421068014852</v>
      </c>
    </row>
    <row r="339" spans="1:6" x14ac:dyDescent="0.3">
      <c r="A339">
        <v>238</v>
      </c>
      <c r="B339">
        <v>4.5684006083224524</v>
      </c>
      <c r="C339">
        <v>0.1015993916775475</v>
      </c>
    </row>
    <row r="340" spans="1:6" x14ac:dyDescent="0.3">
      <c r="A340">
        <v>239</v>
      </c>
      <c r="B340">
        <v>3.9384663212667661</v>
      </c>
      <c r="C340">
        <v>1.9815336787332338</v>
      </c>
    </row>
    <row r="341" spans="1:6" x14ac:dyDescent="0.3">
      <c r="A341">
        <v>240</v>
      </c>
      <c r="B341">
        <v>3.5747408241743339</v>
      </c>
      <c r="C341">
        <v>-1.5747408241743339</v>
      </c>
    </row>
    <row r="342" spans="1:6" x14ac:dyDescent="0.3">
      <c r="A342">
        <v>241</v>
      </c>
      <c r="B342">
        <v>3.1569461720241656</v>
      </c>
      <c r="C342">
        <v>-1.1569461720241656</v>
      </c>
    </row>
    <row r="343" spans="1:6" ht="15" thickBot="1" x14ac:dyDescent="0.35">
      <c r="A343">
        <v>242</v>
      </c>
      <c r="B343">
        <v>2.7076548055212122</v>
      </c>
      <c r="C343">
        <v>-0.95765480552121218</v>
      </c>
      <c r="F343" s="16"/>
    </row>
    <row r="344" spans="1:6" ht="15" thickBot="1" x14ac:dyDescent="0.35">
      <c r="A344" s="16">
        <v>243</v>
      </c>
      <c r="B344" s="16">
        <v>2.7965867048702506</v>
      </c>
      <c r="C344" s="16">
        <v>0.20341329512974937</v>
      </c>
      <c r="E344" s="16"/>
    </row>
  </sheetData>
  <sortState xmlns:xlrd2="http://schemas.microsoft.com/office/spreadsheetml/2017/richdata2" ref="F101:F343">
    <sortCondition ref="F101"/>
  </sortState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BCA06E-1088-4CC4-A1A6-CE0FFE325345}">
  <dimension ref="A1:S247"/>
  <sheetViews>
    <sheetView topLeftCell="A54" zoomScale="98" zoomScaleNormal="98" workbookViewId="0">
      <selection activeCell="A69" sqref="A69"/>
    </sheetView>
  </sheetViews>
  <sheetFormatPr defaultRowHeight="14.4" x14ac:dyDescent="0.3"/>
  <cols>
    <col min="1" max="1" width="24.88671875" customWidth="1"/>
    <col min="2" max="2" width="13" bestFit="1" customWidth="1"/>
    <col min="3" max="3" width="13.6640625" bestFit="1" customWidth="1"/>
    <col min="4" max="4" width="14.5546875" bestFit="1" customWidth="1"/>
    <col min="5" max="5" width="10.109375" customWidth="1"/>
    <col min="6" max="6" width="14.5546875" bestFit="1" customWidth="1"/>
    <col min="7" max="7" width="9" bestFit="1" customWidth="1"/>
    <col min="8" max="8" width="9.44140625" bestFit="1" customWidth="1"/>
    <col min="9" max="9" width="9" bestFit="1" customWidth="1"/>
    <col min="13" max="15" width="9" bestFit="1" customWidth="1"/>
  </cols>
  <sheetData>
    <row r="1" spans="1:19" ht="21" x14ac:dyDescent="0.3">
      <c r="A1" s="20" t="s">
        <v>146</v>
      </c>
      <c r="M1" t="s">
        <v>322</v>
      </c>
    </row>
    <row r="2" spans="1:19" ht="15" thickBot="1" x14ac:dyDescent="0.35">
      <c r="F2" s="31" t="s">
        <v>96</v>
      </c>
      <c r="G2" t="s">
        <v>97</v>
      </c>
    </row>
    <row r="3" spans="1:19" ht="18" x14ac:dyDescent="0.35">
      <c r="A3" s="14" t="s">
        <v>147</v>
      </c>
      <c r="F3" s="31" t="s">
        <v>98</v>
      </c>
      <c r="G3" t="s">
        <v>99</v>
      </c>
      <c r="M3" s="17" t="s">
        <v>323</v>
      </c>
      <c r="N3" s="35" t="s">
        <v>324</v>
      </c>
      <c r="O3" s="35" t="s">
        <v>325</v>
      </c>
    </row>
    <row r="4" spans="1:19" x14ac:dyDescent="0.3">
      <c r="M4">
        <v>1</v>
      </c>
      <c r="N4" s="11">
        <v>2.7364916373525201</v>
      </c>
      <c r="O4" s="11">
        <v>-1.7264916373525201</v>
      </c>
    </row>
    <row r="5" spans="1:19" ht="21" x14ac:dyDescent="0.3">
      <c r="A5" s="20" t="s">
        <v>148</v>
      </c>
      <c r="M5">
        <v>2</v>
      </c>
      <c r="N5" s="11">
        <v>2.2503963296518839</v>
      </c>
      <c r="O5" s="11">
        <v>-0.59039632965188393</v>
      </c>
    </row>
    <row r="6" spans="1:19" x14ac:dyDescent="0.3">
      <c r="A6" s="7"/>
      <c r="M6">
        <v>3</v>
      </c>
      <c r="N6" s="11">
        <v>3.2578573950856455</v>
      </c>
      <c r="O6" s="11">
        <v>0.24214260491435446</v>
      </c>
    </row>
    <row r="7" spans="1:19" ht="18" x14ac:dyDescent="0.3">
      <c r="A7" s="18" t="s">
        <v>149</v>
      </c>
      <c r="M7">
        <v>4</v>
      </c>
      <c r="N7" s="11">
        <v>3.3338687072194091</v>
      </c>
      <c r="O7" s="11">
        <v>-2.3868707219409036E-2</v>
      </c>
    </row>
    <row r="8" spans="1:19" ht="18" x14ac:dyDescent="0.3">
      <c r="A8" s="18" t="s">
        <v>150</v>
      </c>
      <c r="M8">
        <v>5</v>
      </c>
      <c r="N8" s="11">
        <v>3.8062634073411195</v>
      </c>
      <c r="O8" s="11">
        <v>-0.19626340734111958</v>
      </c>
    </row>
    <row r="9" spans="1:19" ht="18" x14ac:dyDescent="0.3">
      <c r="A9" s="18" t="s">
        <v>151</v>
      </c>
      <c r="M9">
        <v>6</v>
      </c>
      <c r="N9" s="11">
        <v>3.8380648650291675</v>
      </c>
      <c r="O9" s="11">
        <v>0.87193513497083242</v>
      </c>
    </row>
    <row r="10" spans="1:19" x14ac:dyDescent="0.3">
      <c r="M10">
        <v>7</v>
      </c>
      <c r="N10" s="11">
        <v>1.9260669747341805</v>
      </c>
      <c r="O10" s="11">
        <v>7.3933025265819463E-2</v>
      </c>
    </row>
    <row r="11" spans="1:19" ht="15" thickBot="1" x14ac:dyDescent="0.35">
      <c r="A11" t="s">
        <v>152</v>
      </c>
      <c r="M11">
        <v>8</v>
      </c>
      <c r="N11" s="11">
        <v>3.9881926151734675</v>
      </c>
      <c r="O11" s="11">
        <v>-0.86819261517346735</v>
      </c>
    </row>
    <row r="12" spans="1:19" ht="15" thickBot="1" x14ac:dyDescent="0.35">
      <c r="M12">
        <v>9</v>
      </c>
      <c r="N12" s="11">
        <v>2.5180801781334017</v>
      </c>
      <c r="O12" s="11">
        <v>-0.55808017813340172</v>
      </c>
      <c r="Q12" s="17"/>
      <c r="R12" s="17"/>
      <c r="S12" s="17"/>
    </row>
    <row r="13" spans="1:19" x14ac:dyDescent="0.3">
      <c r="A13" s="25" t="s">
        <v>153</v>
      </c>
      <c r="B13" s="25"/>
      <c r="M13">
        <v>10</v>
      </c>
      <c r="N13" s="11">
        <v>2.4935309862859061</v>
      </c>
      <c r="O13" s="11">
        <v>0.7364690137140939</v>
      </c>
    </row>
    <row r="14" spans="1:19" x14ac:dyDescent="0.3">
      <c r="A14" t="s">
        <v>154</v>
      </c>
      <c r="B14">
        <v>0.68485627106952807</v>
      </c>
      <c r="M14">
        <v>11</v>
      </c>
      <c r="N14" s="11">
        <v>2.0676969277005015</v>
      </c>
      <c r="O14" s="11">
        <v>-0.35769692770050154</v>
      </c>
    </row>
    <row r="15" spans="1:19" ht="15" thickBot="1" x14ac:dyDescent="0.35">
      <c r="A15" t="s">
        <v>155</v>
      </c>
      <c r="B15">
        <v>0.46902811202325889</v>
      </c>
      <c r="M15">
        <v>12</v>
      </c>
      <c r="N15" s="11">
        <v>4.8137244727748811</v>
      </c>
      <c r="O15" s="11">
        <v>0.18627552722511886</v>
      </c>
      <c r="Q15" s="16"/>
      <c r="R15" s="16"/>
      <c r="S15" s="16"/>
    </row>
    <row r="16" spans="1:19" x14ac:dyDescent="0.3">
      <c r="A16" t="s">
        <v>156</v>
      </c>
      <c r="B16">
        <v>0.450875226964225</v>
      </c>
      <c r="M16">
        <v>13</v>
      </c>
      <c r="N16" s="11">
        <v>2.5539597662182025</v>
      </c>
      <c r="O16" s="11">
        <v>-0.98395976621820247</v>
      </c>
    </row>
    <row r="17" spans="1:15" x14ac:dyDescent="0.3">
      <c r="A17" t="s">
        <v>157</v>
      </c>
      <c r="B17">
        <v>1.0263274168314602</v>
      </c>
      <c r="M17">
        <v>14</v>
      </c>
      <c r="N17" s="11">
        <v>3.1903438801298609</v>
      </c>
      <c r="O17" s="11">
        <v>-0.19034388012986092</v>
      </c>
    </row>
    <row r="18" spans="1:15" ht="15" thickBot="1" x14ac:dyDescent="0.35">
      <c r="A18" s="16" t="s">
        <v>78</v>
      </c>
      <c r="B18" s="16">
        <v>243</v>
      </c>
      <c r="M18">
        <v>15</v>
      </c>
      <c r="N18" s="11">
        <v>2.5325445050810185</v>
      </c>
      <c r="O18" s="11">
        <v>0.48745549491898155</v>
      </c>
    </row>
    <row r="19" spans="1:15" x14ac:dyDescent="0.3">
      <c r="M19">
        <v>16</v>
      </c>
      <c r="N19" s="11">
        <v>3.1355867730665601</v>
      </c>
      <c r="O19" s="11">
        <v>0.78441322693343984</v>
      </c>
    </row>
    <row r="20" spans="1:15" ht="15" thickBot="1" x14ac:dyDescent="0.35">
      <c r="A20" t="s">
        <v>158</v>
      </c>
      <c r="M20">
        <v>17</v>
      </c>
      <c r="N20" s="11">
        <v>2.2837446503283427</v>
      </c>
      <c r="O20" s="11">
        <v>-0.6137446503283428</v>
      </c>
    </row>
    <row r="21" spans="1:15" x14ac:dyDescent="0.3">
      <c r="A21" s="17"/>
      <c r="B21" s="17" t="s">
        <v>80</v>
      </c>
      <c r="C21" s="17" t="s">
        <v>163</v>
      </c>
      <c r="D21" s="17" t="s">
        <v>164</v>
      </c>
      <c r="E21" s="17" t="s">
        <v>165</v>
      </c>
      <c r="F21" s="17" t="s">
        <v>166</v>
      </c>
      <c r="M21">
        <v>18</v>
      </c>
      <c r="N21" s="11">
        <v>2.8121951430849559</v>
      </c>
      <c r="O21" s="11">
        <v>0.89780485691504408</v>
      </c>
    </row>
    <row r="22" spans="1:15" x14ac:dyDescent="0.3">
      <c r="A22" t="s">
        <v>159</v>
      </c>
      <c r="B22">
        <v>8</v>
      </c>
      <c r="C22">
        <v>217.72839146751463</v>
      </c>
      <c r="D22">
        <v>27.216048933439328</v>
      </c>
      <c r="E22">
        <v>25.837662195180613</v>
      </c>
      <c r="F22">
        <v>2.0322670463530755E-28</v>
      </c>
      <c r="M22">
        <v>19</v>
      </c>
      <c r="N22" s="11">
        <v>2.9106932421259226</v>
      </c>
      <c r="O22" s="11">
        <v>0.58930675787407738</v>
      </c>
    </row>
    <row r="23" spans="1:15" x14ac:dyDescent="0.3">
      <c r="A23" t="s">
        <v>160</v>
      </c>
      <c r="B23">
        <v>234</v>
      </c>
      <c r="C23">
        <v>246.48342417034544</v>
      </c>
      <c r="D23">
        <v>1.0533479665399379</v>
      </c>
      <c r="M23">
        <v>20</v>
      </c>
      <c r="N23" s="11">
        <v>3.1269624519331938</v>
      </c>
      <c r="O23" s="11">
        <v>0.22303754806680631</v>
      </c>
    </row>
    <row r="24" spans="1:15" ht="15" thickBot="1" x14ac:dyDescent="0.35">
      <c r="A24" s="16" t="s">
        <v>161</v>
      </c>
      <c r="B24" s="16">
        <v>242</v>
      </c>
      <c r="C24" s="16">
        <v>464.21181563786007</v>
      </c>
      <c r="D24" s="16"/>
      <c r="E24" s="16"/>
      <c r="F24" s="16"/>
      <c r="M24">
        <v>21</v>
      </c>
      <c r="N24" s="11">
        <v>2.6931059333882033</v>
      </c>
      <c r="O24" s="11">
        <v>1.3868940666117968</v>
      </c>
    </row>
    <row r="25" spans="1:15" ht="15" thickBot="1" x14ac:dyDescent="0.35">
      <c r="M25">
        <v>22</v>
      </c>
      <c r="N25" s="11">
        <v>2.9511737794378914</v>
      </c>
      <c r="O25" s="11">
        <v>-0.20117377943789139</v>
      </c>
    </row>
    <row r="26" spans="1:15" x14ac:dyDescent="0.3">
      <c r="A26" s="17"/>
      <c r="B26" s="17" t="s">
        <v>167</v>
      </c>
      <c r="C26" s="17" t="s">
        <v>157</v>
      </c>
      <c r="D26" s="17" t="s">
        <v>81</v>
      </c>
      <c r="E26" s="17" t="s">
        <v>168</v>
      </c>
      <c r="F26" s="17" t="s">
        <v>169</v>
      </c>
      <c r="G26" s="17" t="s">
        <v>170</v>
      </c>
      <c r="H26" s="17" t="s">
        <v>171</v>
      </c>
      <c r="I26" s="17" t="s">
        <v>172</v>
      </c>
      <c r="M26">
        <v>23</v>
      </c>
      <c r="N26" s="11">
        <v>2.5243955211660447</v>
      </c>
      <c r="O26" s="11">
        <v>-0.29439552116604473</v>
      </c>
    </row>
    <row r="27" spans="1:15" x14ac:dyDescent="0.3">
      <c r="A27" t="s">
        <v>162</v>
      </c>
      <c r="B27">
        <v>0.714051291439743</v>
      </c>
      <c r="C27">
        <v>0.23384504646200593</v>
      </c>
      <c r="D27">
        <v>3.0535232721115553</v>
      </c>
      <c r="E27">
        <v>2.5233549733725703E-3</v>
      </c>
      <c r="F27">
        <v>0.25334062134311924</v>
      </c>
      <c r="G27">
        <v>1.1747619615363667</v>
      </c>
      <c r="H27">
        <v>0.25334062134311924</v>
      </c>
      <c r="I27">
        <v>1.1747619615363667</v>
      </c>
      <c r="M27">
        <v>24</v>
      </c>
      <c r="N27" s="11">
        <v>5.0753152675313746</v>
      </c>
      <c r="O27" s="11">
        <v>2.5046847324686254</v>
      </c>
    </row>
    <row r="28" spans="1:15" x14ac:dyDescent="0.3">
      <c r="A28" t="s">
        <v>0</v>
      </c>
      <c r="B28">
        <v>-3.4292520362901487E-2</v>
      </c>
      <c r="C28">
        <v>0.14219877168475481</v>
      </c>
      <c r="D28">
        <v>-0.24115904769505123</v>
      </c>
      <c r="E28">
        <v>0.80964302615469985</v>
      </c>
      <c r="F28">
        <v>-0.31444594837423362</v>
      </c>
      <c r="G28">
        <v>0.24586090764843066</v>
      </c>
      <c r="H28">
        <v>-0.31444594837423362</v>
      </c>
      <c r="I28">
        <v>0.24586090764843066</v>
      </c>
      <c r="M28">
        <v>25</v>
      </c>
      <c r="N28" s="11">
        <v>2.8725038738122093</v>
      </c>
      <c r="O28" s="11">
        <v>0.30749612618779087</v>
      </c>
    </row>
    <row r="29" spans="1:15" x14ac:dyDescent="0.3">
      <c r="A29" t="s">
        <v>1</v>
      </c>
      <c r="B29">
        <v>-8.3248125793157962E-2</v>
      </c>
      <c r="C29">
        <v>0.1477206006574116</v>
      </c>
      <c r="D29">
        <v>-0.56355122726737394</v>
      </c>
      <c r="E29">
        <v>0.57359923232804333</v>
      </c>
      <c r="F29">
        <v>-0.37428040526891482</v>
      </c>
      <c r="G29">
        <v>0.20778415368259892</v>
      </c>
      <c r="H29">
        <v>-0.37428040526891482</v>
      </c>
      <c r="I29">
        <v>0.20778415368259892</v>
      </c>
      <c r="M29">
        <v>26</v>
      </c>
      <c r="N29" s="11">
        <v>3.0348997451299136</v>
      </c>
      <c r="O29" s="11">
        <v>-0.6948997451299137</v>
      </c>
    </row>
    <row r="30" spans="1:15" x14ac:dyDescent="0.3">
      <c r="A30" t="s">
        <v>21</v>
      </c>
      <c r="B30">
        <v>3.7029723440491609E-2</v>
      </c>
      <c r="C30">
        <v>0.47193762542345435</v>
      </c>
      <c r="D30">
        <v>7.846317277048219E-2</v>
      </c>
      <c r="E30">
        <v>0.9375266777166894</v>
      </c>
      <c r="F30">
        <v>-0.89275990837869501</v>
      </c>
      <c r="G30">
        <v>0.96681935525967821</v>
      </c>
      <c r="H30">
        <v>-0.89275990837869501</v>
      </c>
      <c r="I30">
        <v>0.96681935525967821</v>
      </c>
      <c r="M30">
        <v>27</v>
      </c>
      <c r="N30" s="11">
        <v>2.2634950760570298</v>
      </c>
      <c r="O30" s="11">
        <v>-0.26349507605702982</v>
      </c>
    </row>
    <row r="31" spans="1:15" x14ac:dyDescent="0.3">
      <c r="A31" t="s">
        <v>326</v>
      </c>
      <c r="B31">
        <v>0.1571533629397662</v>
      </c>
      <c r="C31">
        <v>0.39502288290466187</v>
      </c>
      <c r="D31">
        <v>0.39783356798014891</v>
      </c>
      <c r="E31">
        <v>0.6911155674063818</v>
      </c>
      <c r="F31">
        <v>-0.62110240873455924</v>
      </c>
      <c r="G31">
        <v>0.9354091346140917</v>
      </c>
      <c r="H31">
        <v>-0.62110240873455924</v>
      </c>
      <c r="I31">
        <v>0.9354091346140917</v>
      </c>
      <c r="M31">
        <v>28</v>
      </c>
      <c r="N31" s="11">
        <v>2.199289497378965</v>
      </c>
      <c r="O31" s="11">
        <v>-0.19928949737896495</v>
      </c>
    </row>
    <row r="32" spans="1:15" x14ac:dyDescent="0.3">
      <c r="A32" t="s">
        <v>9</v>
      </c>
      <c r="B32">
        <v>0.13393347788102605</v>
      </c>
      <c r="C32">
        <v>0.47287251247924839</v>
      </c>
      <c r="D32">
        <v>0.28323379842659729</v>
      </c>
      <c r="E32">
        <v>0.77724803281948729</v>
      </c>
      <c r="F32">
        <v>-0.79769802507657483</v>
      </c>
      <c r="G32">
        <v>1.0655649808386269</v>
      </c>
      <c r="H32">
        <v>-0.79769802507657483</v>
      </c>
      <c r="I32">
        <v>1.0655649808386269</v>
      </c>
      <c r="M32">
        <v>29</v>
      </c>
      <c r="N32" s="11">
        <v>3.0500134148633316</v>
      </c>
      <c r="O32" s="11">
        <v>1.2499865851366683</v>
      </c>
    </row>
    <row r="33" spans="1:15" x14ac:dyDescent="0.3">
      <c r="A33" t="s">
        <v>3</v>
      </c>
      <c r="B33">
        <v>-6.7868407526016195E-2</v>
      </c>
      <c r="C33">
        <v>0.44552902868694005</v>
      </c>
      <c r="D33">
        <v>-0.15233217850257139</v>
      </c>
      <c r="E33">
        <v>0.87905620937290929</v>
      </c>
      <c r="F33">
        <v>-0.94562904628817945</v>
      </c>
      <c r="G33">
        <v>0.80989223123614706</v>
      </c>
      <c r="H33">
        <v>-0.94562904628817945</v>
      </c>
      <c r="I33">
        <v>0.80989223123614706</v>
      </c>
      <c r="M33">
        <v>30</v>
      </c>
      <c r="N33" s="11">
        <v>2.8907449995055945</v>
      </c>
      <c r="O33" s="11">
        <v>0.10925500049440551</v>
      </c>
    </row>
    <row r="34" spans="1:15" x14ac:dyDescent="0.3">
      <c r="A34" t="s">
        <v>4</v>
      </c>
      <c r="B34">
        <v>0.17609000414628706</v>
      </c>
      <c r="C34">
        <v>8.9712356849442745E-2</v>
      </c>
      <c r="D34">
        <v>1.9628288714096007</v>
      </c>
      <c r="E34">
        <v>5.0850842801363094E-2</v>
      </c>
      <c r="F34">
        <v>-6.5712248899765791E-4</v>
      </c>
      <c r="G34">
        <v>0.35283713078157175</v>
      </c>
      <c r="H34">
        <v>-6.5712248899765791E-4</v>
      </c>
      <c r="I34">
        <v>0.35283713078157175</v>
      </c>
      <c r="M34">
        <v>31</v>
      </c>
      <c r="N34" s="11">
        <v>1.9028107958361333</v>
      </c>
      <c r="O34" s="11">
        <v>-0.45281079583613337</v>
      </c>
    </row>
    <row r="35" spans="1:15" ht="15" thickBot="1" x14ac:dyDescent="0.35">
      <c r="A35" s="16" t="s">
        <v>5</v>
      </c>
      <c r="B35" s="16">
        <v>9.4419968644213842E-2</v>
      </c>
      <c r="C35" s="16">
        <v>9.6267970657712594E-3</v>
      </c>
      <c r="D35" s="16">
        <v>9.808035632113878</v>
      </c>
      <c r="E35" s="16">
        <v>3.0340226930704924E-19</v>
      </c>
      <c r="F35" s="16">
        <v>7.5453699338285676E-2</v>
      </c>
      <c r="G35" s="16">
        <v>0.11338623795014201</v>
      </c>
      <c r="H35" s="16">
        <v>7.5453699338285676E-2</v>
      </c>
      <c r="I35" s="16">
        <v>0.11338623795014201</v>
      </c>
      <c r="M35">
        <v>32</v>
      </c>
      <c r="N35" s="11">
        <v>3.085886528197789</v>
      </c>
      <c r="O35" s="11">
        <v>-0.58588652819778897</v>
      </c>
    </row>
    <row r="36" spans="1:15" x14ac:dyDescent="0.3">
      <c r="M36">
        <v>33</v>
      </c>
      <c r="N36" s="11">
        <v>2.4573573434286531</v>
      </c>
      <c r="O36" s="11">
        <v>0.54264265657134692</v>
      </c>
    </row>
    <row r="37" spans="1:15" x14ac:dyDescent="0.3">
      <c r="A37" t="s">
        <v>354</v>
      </c>
      <c r="B37">
        <f>SQRT(C23/B18)</f>
        <v>1.0071420351123821</v>
      </c>
      <c r="M37">
        <v>34</v>
      </c>
      <c r="N37" s="11">
        <v>3.3411217751881512</v>
      </c>
      <c r="O37" s="11">
        <v>-0.89112177518815106</v>
      </c>
    </row>
    <row r="38" spans="1:15" x14ac:dyDescent="0.3">
      <c r="A38" t="s">
        <v>155</v>
      </c>
      <c r="B38">
        <v>0.46902811202325889</v>
      </c>
      <c r="M38">
        <v>35</v>
      </c>
      <c r="N38" s="11">
        <v>2.6798871377780134</v>
      </c>
      <c r="O38" s="11">
        <v>0.59011286222198667</v>
      </c>
    </row>
    <row r="39" spans="1:15" x14ac:dyDescent="0.3">
      <c r="A39" s="36" t="s">
        <v>343</v>
      </c>
      <c r="M39">
        <v>36</v>
      </c>
      <c r="N39" s="11">
        <v>3.4489345450099629</v>
      </c>
      <c r="O39" s="11">
        <v>0.15106545499003721</v>
      </c>
    </row>
    <row r="40" spans="1:15" x14ac:dyDescent="0.3">
      <c r="A40" s="36" t="s">
        <v>345</v>
      </c>
      <c r="M40">
        <v>37</v>
      </c>
      <c r="N40" s="11">
        <v>2.7171797880173054</v>
      </c>
      <c r="O40" s="11">
        <v>-0.71717978801730542</v>
      </c>
    </row>
    <row r="41" spans="1:15" x14ac:dyDescent="0.3">
      <c r="A41" s="36" t="s">
        <v>344</v>
      </c>
      <c r="M41">
        <v>38</v>
      </c>
      <c r="N41" s="11">
        <v>2.81001268893962</v>
      </c>
      <c r="O41" s="11">
        <v>0.25998731106037987</v>
      </c>
    </row>
    <row r="42" spans="1:15" x14ac:dyDescent="0.3">
      <c r="A42" t="s">
        <v>156</v>
      </c>
      <c r="B42">
        <v>0.450875226964225</v>
      </c>
      <c r="M42">
        <v>39</v>
      </c>
      <c r="N42" s="11">
        <v>2.9418993133905351</v>
      </c>
      <c r="O42" s="11">
        <v>-0.63189931339053507</v>
      </c>
    </row>
    <row r="43" spans="1:15" x14ac:dyDescent="0.3">
      <c r="A43" t="s">
        <v>329</v>
      </c>
      <c r="M43">
        <v>40</v>
      </c>
      <c r="N43" s="11">
        <v>4.1297025189347449</v>
      </c>
      <c r="O43" s="11">
        <v>0.87029748106525506</v>
      </c>
    </row>
    <row r="44" spans="1:15" x14ac:dyDescent="0.3">
      <c r="A44" t="s">
        <v>157</v>
      </c>
      <c r="B44">
        <v>1.0263274168314602</v>
      </c>
      <c r="M44">
        <v>41</v>
      </c>
      <c r="N44" s="11">
        <v>2.6916863964833677</v>
      </c>
      <c r="O44" s="11">
        <v>-0.4516863964833675</v>
      </c>
    </row>
    <row r="45" spans="1:15" x14ac:dyDescent="0.3">
      <c r="A45" s="36" t="s">
        <v>355</v>
      </c>
      <c r="M45">
        <v>42</v>
      </c>
      <c r="N45" s="11">
        <v>2.7465765022523989</v>
      </c>
      <c r="O45" s="11">
        <v>-0.20657650225239887</v>
      </c>
    </row>
    <row r="46" spans="1:15" ht="15" thickBot="1" x14ac:dyDescent="0.35">
      <c r="A46" t="s">
        <v>162</v>
      </c>
      <c r="B46">
        <v>0.714051291439743</v>
      </c>
      <c r="M46">
        <v>43</v>
      </c>
      <c r="N46" s="11">
        <v>2.4142182126247662</v>
      </c>
      <c r="O46" s="11">
        <v>0.64578178737523384</v>
      </c>
    </row>
    <row r="47" spans="1:15" x14ac:dyDescent="0.3">
      <c r="A47" s="17"/>
      <c r="B47" s="17" t="s">
        <v>81</v>
      </c>
      <c r="C47" s="17"/>
      <c r="D47" s="17" t="s">
        <v>168</v>
      </c>
      <c r="E47" s="17"/>
      <c r="F47" s="17"/>
      <c r="G47" s="17"/>
      <c r="H47" s="17"/>
      <c r="I47" s="17"/>
      <c r="J47" s="17"/>
      <c r="M47">
        <v>44</v>
      </c>
      <c r="N47" s="11">
        <v>2.0119891462004151</v>
      </c>
      <c r="O47" s="11">
        <v>-0.69198914620041507</v>
      </c>
    </row>
    <row r="48" spans="1:15" x14ac:dyDescent="0.3">
      <c r="A48" t="s">
        <v>162</v>
      </c>
      <c r="B48">
        <v>3.0535232721115553</v>
      </c>
      <c r="C48" t="s">
        <v>274</v>
      </c>
      <c r="D48">
        <v>2.5233549733725703E-3</v>
      </c>
      <c r="E48" t="s">
        <v>272</v>
      </c>
      <c r="F48" t="s">
        <v>340</v>
      </c>
      <c r="I48" t="s">
        <v>337</v>
      </c>
      <c r="M48">
        <v>45</v>
      </c>
      <c r="N48" s="11">
        <v>4.3205509048011006</v>
      </c>
      <c r="O48" s="11">
        <v>1.279449095198899</v>
      </c>
    </row>
    <row r="49" spans="1:15" x14ac:dyDescent="0.3">
      <c r="A49" t="s">
        <v>0</v>
      </c>
      <c r="B49">
        <v>-0.24115904769505123</v>
      </c>
      <c r="C49" t="s">
        <v>234</v>
      </c>
      <c r="D49">
        <v>0.80964302615469985</v>
      </c>
      <c r="E49" t="s">
        <v>227</v>
      </c>
      <c r="F49" t="s">
        <v>334</v>
      </c>
      <c r="I49" t="s">
        <v>336</v>
      </c>
      <c r="M49">
        <v>46</v>
      </c>
      <c r="N49" s="11">
        <v>2.8249450762270962</v>
      </c>
      <c r="O49" s="11">
        <v>0.17505492377290377</v>
      </c>
    </row>
    <row r="50" spans="1:15" x14ac:dyDescent="0.3">
      <c r="A50" t="s">
        <v>1</v>
      </c>
      <c r="B50">
        <v>-0.56355122726737394</v>
      </c>
      <c r="C50" t="s">
        <v>234</v>
      </c>
      <c r="D50">
        <v>0.57359923232804333</v>
      </c>
      <c r="E50" t="s">
        <v>227</v>
      </c>
      <c r="F50" t="s">
        <v>334</v>
      </c>
      <c r="I50" t="s">
        <v>336</v>
      </c>
      <c r="M50">
        <v>47</v>
      </c>
      <c r="N50" s="11">
        <v>3.1969597526852991</v>
      </c>
      <c r="O50" s="11">
        <v>1.8030402473147009</v>
      </c>
    </row>
    <row r="51" spans="1:15" x14ac:dyDescent="0.3">
      <c r="A51" t="s">
        <v>21</v>
      </c>
      <c r="B51">
        <v>7.846317277048219E-2</v>
      </c>
      <c r="C51" t="s">
        <v>328</v>
      </c>
      <c r="D51">
        <v>0.9375266777166894</v>
      </c>
      <c r="E51" t="s">
        <v>227</v>
      </c>
      <c r="F51" t="s">
        <v>334</v>
      </c>
      <c r="I51" t="s">
        <v>336</v>
      </c>
      <c r="M51">
        <v>48</v>
      </c>
      <c r="N51" s="11">
        <v>4.5093908420895286</v>
      </c>
      <c r="O51" s="11">
        <v>1.4906091579104714</v>
      </c>
    </row>
    <row r="52" spans="1:15" x14ac:dyDescent="0.3">
      <c r="A52" t="s">
        <v>326</v>
      </c>
      <c r="B52">
        <v>0.39783356798014891</v>
      </c>
      <c r="C52" t="s">
        <v>328</v>
      </c>
      <c r="D52">
        <v>0.6911155674063818</v>
      </c>
      <c r="E52" t="s">
        <v>331</v>
      </c>
      <c r="F52" t="s">
        <v>334</v>
      </c>
      <c r="I52" t="s">
        <v>336</v>
      </c>
      <c r="M52">
        <v>49</v>
      </c>
      <c r="N52" s="11">
        <v>3.9697839586630179</v>
      </c>
      <c r="O52" s="11">
        <v>-1.9197839586630181</v>
      </c>
    </row>
    <row r="53" spans="1:15" x14ac:dyDescent="0.3">
      <c r="A53" t="s">
        <v>9</v>
      </c>
      <c r="B53">
        <v>0.28323379842659729</v>
      </c>
      <c r="C53" t="s">
        <v>328</v>
      </c>
      <c r="D53">
        <v>0.77724803281948729</v>
      </c>
      <c r="E53" t="s">
        <v>332</v>
      </c>
      <c r="F53" t="s">
        <v>334</v>
      </c>
      <c r="I53" t="s">
        <v>336</v>
      </c>
      <c r="M53">
        <v>50</v>
      </c>
      <c r="N53" s="11">
        <v>2.8013400840660427</v>
      </c>
      <c r="O53" s="11">
        <v>0.19865991593395727</v>
      </c>
    </row>
    <row r="54" spans="1:15" x14ac:dyDescent="0.3">
      <c r="A54" t="s">
        <v>3</v>
      </c>
      <c r="B54">
        <v>-0.15233217850257139</v>
      </c>
      <c r="C54" t="s">
        <v>328</v>
      </c>
      <c r="D54">
        <v>0.87905620937290929</v>
      </c>
      <c r="E54" t="s">
        <v>333</v>
      </c>
      <c r="F54" t="s">
        <v>334</v>
      </c>
      <c r="I54" t="s">
        <v>336</v>
      </c>
      <c r="M54">
        <v>51</v>
      </c>
      <c r="N54" s="11">
        <v>2.2820302565228667</v>
      </c>
      <c r="O54" s="11">
        <v>0.21796974347713327</v>
      </c>
    </row>
    <row r="55" spans="1:15" x14ac:dyDescent="0.3">
      <c r="A55" t="s">
        <v>4</v>
      </c>
      <c r="B55">
        <v>1.9628288714096007</v>
      </c>
      <c r="C55" t="s">
        <v>330</v>
      </c>
      <c r="D55">
        <v>5.0850842801363094E-2</v>
      </c>
      <c r="E55" t="s">
        <v>227</v>
      </c>
      <c r="F55" t="s">
        <v>335</v>
      </c>
      <c r="I55" t="s">
        <v>338</v>
      </c>
      <c r="M55">
        <v>52</v>
      </c>
      <c r="N55" s="11">
        <v>2.1038778474362871</v>
      </c>
      <c r="O55" s="11">
        <v>0.49612215256371295</v>
      </c>
    </row>
    <row r="56" spans="1:15" ht="15" thickBot="1" x14ac:dyDescent="0.35">
      <c r="A56" s="16" t="s">
        <v>5</v>
      </c>
      <c r="B56" s="16">
        <v>9.808035632113878</v>
      </c>
      <c r="C56" s="16" t="s">
        <v>274</v>
      </c>
      <c r="D56" s="16">
        <v>3.0340226930704924E-19</v>
      </c>
      <c r="E56" s="16" t="s">
        <v>272</v>
      </c>
      <c r="F56" s="16" t="s">
        <v>335</v>
      </c>
      <c r="G56" s="16"/>
      <c r="H56" s="16"/>
      <c r="I56" s="16" t="s">
        <v>339</v>
      </c>
      <c r="J56" s="16"/>
      <c r="M56">
        <v>53</v>
      </c>
      <c r="N56" s="11">
        <v>4.7712354868849847</v>
      </c>
      <c r="O56" s="11">
        <v>0.42876451311501551</v>
      </c>
    </row>
    <row r="57" spans="1:15" ht="21" x14ac:dyDescent="0.4">
      <c r="A57" s="33" t="s">
        <v>341</v>
      </c>
      <c r="M57">
        <v>54</v>
      </c>
      <c r="N57" s="11">
        <v>2.0365383380479107</v>
      </c>
      <c r="O57" s="11">
        <v>-0.47653833804791068</v>
      </c>
    </row>
    <row r="58" spans="1:15" x14ac:dyDescent="0.3">
      <c r="B58" s="36" t="s">
        <v>342</v>
      </c>
      <c r="M58">
        <v>55</v>
      </c>
      <c r="N58" s="11">
        <v>3.8635582565631053</v>
      </c>
      <c r="O58" s="11">
        <v>0.4764417434368946</v>
      </c>
    </row>
    <row r="59" spans="1:15" ht="21" x14ac:dyDescent="0.4">
      <c r="A59" s="33" t="s">
        <v>346</v>
      </c>
      <c r="M59">
        <v>56</v>
      </c>
      <c r="N59" s="11">
        <v>2.9382490386001532</v>
      </c>
      <c r="O59" s="11">
        <v>0.5717509613998466</v>
      </c>
    </row>
    <row r="60" spans="1:15" x14ac:dyDescent="0.3">
      <c r="A60" t="s">
        <v>347</v>
      </c>
      <c r="M60">
        <v>57</v>
      </c>
      <c r="N60" s="11">
        <v>4.8589349859498752</v>
      </c>
      <c r="O60" s="11">
        <v>-1.8589349859498752</v>
      </c>
    </row>
    <row r="61" spans="1:15" x14ac:dyDescent="0.3">
      <c r="B61" s="36">
        <f>B15-B16</f>
        <v>1.8152885059033896E-2</v>
      </c>
      <c r="M61">
        <v>58</v>
      </c>
      <c r="N61" s="11">
        <v>3.5290239875404801</v>
      </c>
      <c r="O61" s="11">
        <v>-2.0290239875404801</v>
      </c>
    </row>
    <row r="62" spans="1:15" x14ac:dyDescent="0.3">
      <c r="A62" s="36" t="s">
        <v>348</v>
      </c>
      <c r="M62">
        <v>59</v>
      </c>
      <c r="N62" s="11">
        <v>1.9791324170516966</v>
      </c>
      <c r="O62" s="11">
        <v>-0.21913241705169662</v>
      </c>
    </row>
    <row r="63" spans="1:15" x14ac:dyDescent="0.3">
      <c r="M63">
        <v>60</v>
      </c>
      <c r="N63" s="11">
        <v>5.9109319900326671</v>
      </c>
      <c r="O63" s="11">
        <v>0.81906800996733331</v>
      </c>
    </row>
    <row r="64" spans="1:15" ht="21" x14ac:dyDescent="0.4">
      <c r="A64" s="33" t="s">
        <v>349</v>
      </c>
      <c r="M64">
        <v>61</v>
      </c>
      <c r="N64" s="11">
        <v>2.8336331332818316</v>
      </c>
      <c r="O64" s="11">
        <v>0.37636686671816832</v>
      </c>
    </row>
    <row r="65" spans="1:15" x14ac:dyDescent="0.3">
      <c r="A65" s="36" t="s">
        <v>350</v>
      </c>
      <c r="M65">
        <v>62</v>
      </c>
      <c r="N65" s="11">
        <v>2.2217917364673263</v>
      </c>
      <c r="O65" s="11">
        <v>-0.22179173646732631</v>
      </c>
    </row>
    <row r="66" spans="1:15" x14ac:dyDescent="0.3">
      <c r="A66" s="36" t="s">
        <v>351</v>
      </c>
      <c r="M66">
        <v>63</v>
      </c>
      <c r="N66" s="11">
        <v>1.9583600239499694</v>
      </c>
      <c r="O66" s="11">
        <v>2.163997605003054E-2</v>
      </c>
    </row>
    <row r="67" spans="1:15" x14ac:dyDescent="0.3">
      <c r="M67">
        <v>64</v>
      </c>
      <c r="N67" s="11">
        <v>2.996973204285978</v>
      </c>
      <c r="O67" s="11">
        <v>0.76302679571402177</v>
      </c>
    </row>
    <row r="68" spans="1:15" ht="21" x14ac:dyDescent="0.4">
      <c r="A68" s="33" t="s">
        <v>352</v>
      </c>
      <c r="M68">
        <v>65</v>
      </c>
      <c r="N68" s="11">
        <v>2.8380373478818992</v>
      </c>
      <c r="O68" s="11">
        <v>-0.19803734788189908</v>
      </c>
    </row>
    <row r="69" spans="1:15" x14ac:dyDescent="0.3">
      <c r="A69" s="36" t="s">
        <v>353</v>
      </c>
      <c r="M69">
        <v>66</v>
      </c>
      <c r="N69" s="11">
        <v>3.0731430698059921</v>
      </c>
      <c r="O69" s="11">
        <v>7.6856930194007855E-2</v>
      </c>
    </row>
    <row r="70" spans="1:15" x14ac:dyDescent="0.3">
      <c r="M70">
        <v>67</v>
      </c>
      <c r="N70" s="11">
        <v>2.5886010998441105</v>
      </c>
      <c r="O70" s="11">
        <v>-0.11860109984411027</v>
      </c>
    </row>
    <row r="71" spans="1:15" x14ac:dyDescent="0.3">
      <c r="M71">
        <v>68</v>
      </c>
      <c r="N71" s="11">
        <v>1.0659237894450839</v>
      </c>
      <c r="O71" s="11">
        <v>-6.5923789445083925E-2</v>
      </c>
    </row>
    <row r="72" spans="1:15" x14ac:dyDescent="0.3">
      <c r="M72">
        <v>69</v>
      </c>
      <c r="N72" s="11">
        <v>2.9112160609563373</v>
      </c>
      <c r="O72" s="11">
        <v>-0.90121606095633755</v>
      </c>
    </row>
    <row r="73" spans="1:15" x14ac:dyDescent="0.3">
      <c r="M73">
        <v>70</v>
      </c>
      <c r="N73" s="11">
        <v>2.3350956988403828</v>
      </c>
      <c r="O73" s="11">
        <v>-0.24509569884038296</v>
      </c>
    </row>
    <row r="74" spans="1:15" x14ac:dyDescent="0.3">
      <c r="M74">
        <v>71</v>
      </c>
      <c r="N74" s="11">
        <v>2.1360281183873413</v>
      </c>
      <c r="O74" s="11">
        <v>-0.16602811838734133</v>
      </c>
    </row>
    <row r="75" spans="1:15" x14ac:dyDescent="0.3">
      <c r="M75">
        <v>72</v>
      </c>
      <c r="N75" s="11">
        <v>2.8232314845498099</v>
      </c>
      <c r="O75" s="11">
        <v>0.17676851545019012</v>
      </c>
    </row>
    <row r="76" spans="1:15" x14ac:dyDescent="0.3">
      <c r="M76">
        <v>73</v>
      </c>
      <c r="N76" s="11">
        <v>3.4882648476372182</v>
      </c>
      <c r="O76" s="11">
        <v>-0.3482648476372181</v>
      </c>
    </row>
    <row r="77" spans="1:15" x14ac:dyDescent="0.3">
      <c r="M77">
        <v>74</v>
      </c>
      <c r="N77" s="11">
        <v>3.3390812971793609</v>
      </c>
      <c r="O77" s="11">
        <v>1.6609187028206391</v>
      </c>
    </row>
    <row r="78" spans="1:15" x14ac:dyDescent="0.3">
      <c r="M78">
        <v>75</v>
      </c>
      <c r="N78" s="11">
        <v>2.4261987537760623</v>
      </c>
      <c r="O78" s="11">
        <v>-0.22619875377606213</v>
      </c>
    </row>
    <row r="79" spans="1:15" x14ac:dyDescent="0.3">
      <c r="M79">
        <v>76</v>
      </c>
      <c r="N79" s="11">
        <v>1.9934539657345787</v>
      </c>
      <c r="O79" s="11">
        <v>-0.74345396573457867</v>
      </c>
    </row>
    <row r="80" spans="1:15" x14ac:dyDescent="0.3">
      <c r="M80">
        <v>77</v>
      </c>
      <c r="N80" s="11">
        <v>2.6098578075950449</v>
      </c>
      <c r="O80" s="11">
        <v>0.47014219240495514</v>
      </c>
    </row>
    <row r="81" spans="13:15" x14ac:dyDescent="0.3">
      <c r="M81">
        <v>78</v>
      </c>
      <c r="N81" s="11">
        <v>3.9523419347846063</v>
      </c>
      <c r="O81" s="11">
        <v>4.765806521539373E-2</v>
      </c>
    </row>
    <row r="82" spans="13:15" x14ac:dyDescent="0.3">
      <c r="M82">
        <v>79</v>
      </c>
      <c r="N82" s="11">
        <v>3.1809372657117225</v>
      </c>
      <c r="O82" s="11">
        <v>-0.18093726571172253</v>
      </c>
    </row>
    <row r="83" spans="13:15" x14ac:dyDescent="0.3">
      <c r="M83">
        <v>80</v>
      </c>
      <c r="N83" s="11">
        <v>2.6644600372278724</v>
      </c>
      <c r="O83" s="11">
        <v>4.5539962772127573E-2</v>
      </c>
    </row>
    <row r="84" spans="13:15" x14ac:dyDescent="0.3">
      <c r="M84">
        <v>81</v>
      </c>
      <c r="N84" s="11">
        <v>2.7842148440197745</v>
      </c>
      <c r="O84" s="11">
        <v>0.21578515598022552</v>
      </c>
    </row>
    <row r="85" spans="13:15" x14ac:dyDescent="0.3">
      <c r="M85">
        <v>82</v>
      </c>
      <c r="N85" s="11">
        <v>2.604975456982018</v>
      </c>
      <c r="O85" s="11">
        <v>0.79502454301798187</v>
      </c>
    </row>
    <row r="86" spans="13:15" x14ac:dyDescent="0.3">
      <c r="M86">
        <v>83</v>
      </c>
      <c r="N86" s="11">
        <v>1.8409503798332634</v>
      </c>
      <c r="O86" s="11">
        <v>-1.0950379833263302E-2</v>
      </c>
    </row>
    <row r="87" spans="13:15" x14ac:dyDescent="0.3">
      <c r="M87">
        <v>84</v>
      </c>
      <c r="N87" s="11">
        <v>4.0343352288691658</v>
      </c>
      <c r="O87" s="11">
        <v>0.96566477113083415</v>
      </c>
    </row>
    <row r="88" spans="13:15" x14ac:dyDescent="0.3">
      <c r="M88">
        <v>85</v>
      </c>
      <c r="N88" s="11">
        <v>2.5407698783039527</v>
      </c>
      <c r="O88" s="11">
        <v>-0.51076987830395293</v>
      </c>
    </row>
    <row r="89" spans="13:15" x14ac:dyDescent="0.3">
      <c r="M89">
        <v>86</v>
      </c>
      <c r="N89" s="11">
        <v>4.707058815902859</v>
      </c>
      <c r="O89" s="11">
        <v>0.46294118409714091</v>
      </c>
    </row>
    <row r="90" spans="13:15" x14ac:dyDescent="0.3">
      <c r="M90">
        <v>87</v>
      </c>
      <c r="N90" s="11">
        <v>2.2622309708035218</v>
      </c>
      <c r="O90" s="11">
        <v>-0.26223097080352176</v>
      </c>
    </row>
    <row r="91" spans="13:15" x14ac:dyDescent="0.3">
      <c r="M91">
        <v>88</v>
      </c>
      <c r="N91" s="11">
        <v>2.7579358061856447</v>
      </c>
      <c r="O91" s="11">
        <v>1.2420641938143553</v>
      </c>
    </row>
    <row r="92" spans="13:15" x14ac:dyDescent="0.3">
      <c r="M92">
        <v>89</v>
      </c>
      <c r="N92" s="11">
        <v>3.3650562045679395</v>
      </c>
      <c r="O92" s="11">
        <v>2.4849437954320601</v>
      </c>
    </row>
    <row r="93" spans="13:15" x14ac:dyDescent="0.3">
      <c r="M93">
        <v>90</v>
      </c>
      <c r="N93" s="11">
        <v>3.0298653158809801</v>
      </c>
      <c r="O93" s="11">
        <v>-2.986531588098007E-2</v>
      </c>
    </row>
    <row r="94" spans="13:15" x14ac:dyDescent="0.3">
      <c r="M94">
        <v>91</v>
      </c>
      <c r="N94" s="11">
        <v>3.7733221006128823</v>
      </c>
      <c r="O94" s="11">
        <v>-0.77332210061288231</v>
      </c>
    </row>
    <row r="95" spans="13:15" x14ac:dyDescent="0.3">
      <c r="M95">
        <v>92</v>
      </c>
      <c r="N95" s="11">
        <v>3.2447288295915349</v>
      </c>
      <c r="O95" s="11">
        <v>0.25527117040846514</v>
      </c>
    </row>
    <row r="96" spans="13:15" x14ac:dyDescent="0.3">
      <c r="M96">
        <v>93</v>
      </c>
      <c r="N96" s="11">
        <v>1.6151829490571386</v>
      </c>
      <c r="O96" s="11">
        <v>-0.61518294905713855</v>
      </c>
    </row>
    <row r="97" spans="13:15" x14ac:dyDescent="0.3">
      <c r="M97">
        <v>94</v>
      </c>
      <c r="N97" s="11">
        <v>2.6132020176264792</v>
      </c>
      <c r="O97" s="11">
        <v>1.6867979823735206</v>
      </c>
    </row>
    <row r="98" spans="13:15" x14ac:dyDescent="0.3">
      <c r="M98">
        <v>95</v>
      </c>
      <c r="N98" s="11">
        <v>3.3035705418019319</v>
      </c>
      <c r="O98" s="11">
        <v>-5.3570541801931881E-2</v>
      </c>
    </row>
    <row r="99" spans="13:15" x14ac:dyDescent="0.3">
      <c r="M99">
        <v>96</v>
      </c>
      <c r="N99" s="11">
        <v>5.1830057577206521</v>
      </c>
      <c r="O99" s="11">
        <v>-0.45300575772065166</v>
      </c>
    </row>
    <row r="100" spans="13:15" x14ac:dyDescent="0.3">
      <c r="M100">
        <v>97</v>
      </c>
      <c r="N100" s="11">
        <v>3.6137523536041614</v>
      </c>
      <c r="O100" s="11">
        <v>0.38624764639583864</v>
      </c>
    </row>
    <row r="101" spans="13:15" x14ac:dyDescent="0.3">
      <c r="M101">
        <v>98</v>
      </c>
      <c r="N101" s="11">
        <v>2.1738478317799004</v>
      </c>
      <c r="O101" s="11">
        <v>-0.67384783177990037</v>
      </c>
    </row>
    <row r="102" spans="13:15" x14ac:dyDescent="0.3">
      <c r="M102">
        <v>99</v>
      </c>
      <c r="N102" s="11">
        <v>3.0217391502049407</v>
      </c>
      <c r="O102" s="11">
        <v>-2.173915020494066E-2</v>
      </c>
    </row>
    <row r="103" spans="13:15" x14ac:dyDescent="0.3">
      <c r="M103">
        <v>100</v>
      </c>
      <c r="N103" s="11">
        <v>2.2976965440900701</v>
      </c>
      <c r="O103" s="11">
        <v>-0.79769654409007007</v>
      </c>
    </row>
    <row r="104" spans="13:15" x14ac:dyDescent="0.3">
      <c r="M104">
        <v>101</v>
      </c>
      <c r="N104" s="11">
        <v>2.143934773464736</v>
      </c>
      <c r="O104" s="11">
        <v>0.35606522653526396</v>
      </c>
    </row>
    <row r="105" spans="13:15" x14ac:dyDescent="0.3">
      <c r="M105">
        <v>102</v>
      </c>
      <c r="N105" s="11">
        <v>2.5244472471009178</v>
      </c>
      <c r="O105" s="11">
        <v>0.47555275289908217</v>
      </c>
    </row>
    <row r="106" spans="13:15" x14ac:dyDescent="0.3">
      <c r="M106">
        <v>103</v>
      </c>
      <c r="N106" s="11">
        <v>5.3110391049385948</v>
      </c>
      <c r="O106" s="11">
        <v>-2.8110391049385948</v>
      </c>
    </row>
    <row r="107" spans="13:15" x14ac:dyDescent="0.3">
      <c r="M107">
        <v>104</v>
      </c>
      <c r="N107" s="11">
        <v>3.0690401868569093</v>
      </c>
      <c r="O107" s="11">
        <v>0.41095981314309071</v>
      </c>
    </row>
    <row r="108" spans="13:15" x14ac:dyDescent="0.3">
      <c r="M108">
        <v>105</v>
      </c>
      <c r="N108" s="11">
        <v>3.0106583596837462</v>
      </c>
      <c r="O108" s="11">
        <v>1.0693416403162539</v>
      </c>
    </row>
    <row r="109" spans="13:15" x14ac:dyDescent="0.3">
      <c r="M109">
        <v>106</v>
      </c>
      <c r="N109" s="11">
        <v>2.3681426878658574</v>
      </c>
      <c r="O109" s="11">
        <v>-0.72814268786585745</v>
      </c>
    </row>
    <row r="110" spans="13:15" x14ac:dyDescent="0.3">
      <c r="M110">
        <v>107</v>
      </c>
      <c r="N110" s="11">
        <v>2.8525171270106746</v>
      </c>
      <c r="O110" s="11">
        <v>1.207482872989325</v>
      </c>
    </row>
    <row r="111" spans="13:15" x14ac:dyDescent="0.3">
      <c r="M111">
        <v>108</v>
      </c>
      <c r="N111" s="11">
        <v>3.2981793790113638</v>
      </c>
      <c r="O111" s="11">
        <v>0.99182062098863621</v>
      </c>
    </row>
    <row r="112" spans="13:15" x14ac:dyDescent="0.3">
      <c r="M112">
        <v>109</v>
      </c>
      <c r="N112" s="11">
        <v>2.7233203233543515</v>
      </c>
      <c r="O112" s="11">
        <v>1.0366796766456483</v>
      </c>
    </row>
    <row r="113" spans="13:15" x14ac:dyDescent="0.3">
      <c r="M113">
        <v>110</v>
      </c>
      <c r="N113" s="11">
        <v>2.3032942411523347</v>
      </c>
      <c r="O113" s="11">
        <v>1.6967057588476653</v>
      </c>
    </row>
    <row r="114" spans="13:15" x14ac:dyDescent="0.3">
      <c r="M114">
        <v>111</v>
      </c>
      <c r="N114" s="11">
        <v>2.3229796563028851</v>
      </c>
      <c r="O114" s="11">
        <v>0.67702034369711495</v>
      </c>
    </row>
    <row r="115" spans="13:15" x14ac:dyDescent="0.3">
      <c r="M115">
        <v>112</v>
      </c>
      <c r="N115" s="11">
        <v>1.5438473841710558</v>
      </c>
      <c r="O115" s="11">
        <v>-0.54384738417105583</v>
      </c>
    </row>
    <row r="116" spans="13:15" x14ac:dyDescent="0.3">
      <c r="M116">
        <v>113</v>
      </c>
      <c r="N116" s="11">
        <v>4.8686620601559341</v>
      </c>
      <c r="O116" s="11">
        <v>-0.86866206015593406</v>
      </c>
    </row>
    <row r="117" spans="13:15" x14ac:dyDescent="0.3">
      <c r="M117">
        <v>114</v>
      </c>
      <c r="N117" s="11">
        <v>3.3593620987533468</v>
      </c>
      <c r="O117" s="11">
        <v>-0.80936209875334697</v>
      </c>
    </row>
    <row r="118" spans="13:15" x14ac:dyDescent="0.3">
      <c r="M118">
        <v>115</v>
      </c>
      <c r="N118" s="11">
        <v>3.735923768076352</v>
      </c>
      <c r="O118" s="11">
        <v>0.26407623192364804</v>
      </c>
    </row>
    <row r="119" spans="13:15" x14ac:dyDescent="0.3">
      <c r="M119">
        <v>116</v>
      </c>
      <c r="N119" s="11">
        <v>2.7667060273186683</v>
      </c>
      <c r="O119" s="11">
        <v>0.73329397268133167</v>
      </c>
    </row>
    <row r="120" spans="13:15" x14ac:dyDescent="0.3">
      <c r="M120">
        <v>117</v>
      </c>
      <c r="N120" s="11">
        <v>4.2761735195383199</v>
      </c>
      <c r="O120" s="11">
        <v>0.79382648046168036</v>
      </c>
    </row>
    <row r="121" spans="13:15" x14ac:dyDescent="0.3">
      <c r="M121">
        <v>118</v>
      </c>
      <c r="N121" s="11">
        <v>2.0718039657931948</v>
      </c>
      <c r="O121" s="11">
        <v>-0.57180396579319481</v>
      </c>
    </row>
    <row r="122" spans="13:15" x14ac:dyDescent="0.3">
      <c r="M122">
        <v>119</v>
      </c>
      <c r="N122" s="11">
        <v>2.2398715099798951</v>
      </c>
      <c r="O122" s="11">
        <v>-0.4398715099798951</v>
      </c>
    </row>
    <row r="123" spans="13:15" x14ac:dyDescent="0.3">
      <c r="M123">
        <v>120</v>
      </c>
      <c r="N123" s="11">
        <v>3.6920441529775605</v>
      </c>
      <c r="O123" s="11">
        <v>-0.77204415297756057</v>
      </c>
    </row>
    <row r="124" spans="13:15" x14ac:dyDescent="0.3">
      <c r="M124">
        <v>121</v>
      </c>
      <c r="N124" s="11">
        <v>2.1357082128202753</v>
      </c>
      <c r="O124" s="11">
        <v>0.17429178717972471</v>
      </c>
    </row>
    <row r="125" spans="13:15" x14ac:dyDescent="0.3">
      <c r="M125">
        <v>122</v>
      </c>
      <c r="N125" s="11">
        <v>2.3333472789376666</v>
      </c>
      <c r="O125" s="11">
        <v>-0.65334727893766664</v>
      </c>
    </row>
    <row r="126" spans="13:15" x14ac:dyDescent="0.3">
      <c r="M126">
        <v>123</v>
      </c>
      <c r="N126" s="11">
        <v>2.378367532235905</v>
      </c>
      <c r="O126" s="11">
        <v>0.12163246776409498</v>
      </c>
    </row>
    <row r="127" spans="13:15" x14ac:dyDescent="0.3">
      <c r="M127">
        <v>124</v>
      </c>
      <c r="N127" s="11">
        <v>2.537937279244626</v>
      </c>
      <c r="O127" s="11">
        <v>-0.53793727924462598</v>
      </c>
    </row>
    <row r="128" spans="13:15" x14ac:dyDescent="0.3">
      <c r="M128">
        <v>125</v>
      </c>
      <c r="N128" s="11">
        <v>2.2445925084121061</v>
      </c>
      <c r="O128" s="11">
        <v>0.2754074915878939</v>
      </c>
    </row>
    <row r="129" spans="13:15" x14ac:dyDescent="0.3">
      <c r="M129">
        <v>126</v>
      </c>
      <c r="N129" s="11">
        <v>4.584306381915038</v>
      </c>
      <c r="O129" s="11">
        <v>-0.38430638191503785</v>
      </c>
    </row>
    <row r="130" spans="13:15" x14ac:dyDescent="0.3">
      <c r="M130">
        <v>127</v>
      </c>
      <c r="N130" s="11">
        <v>1.8363969122181174</v>
      </c>
      <c r="O130" s="11">
        <v>-0.35639691221811742</v>
      </c>
    </row>
    <row r="131" spans="13:15" x14ac:dyDescent="0.3">
      <c r="M131">
        <v>128</v>
      </c>
      <c r="N131" s="11">
        <v>2.437209244446302</v>
      </c>
      <c r="O131" s="11">
        <v>-0.43720924444630205</v>
      </c>
    </row>
    <row r="132" spans="13:15" x14ac:dyDescent="0.3">
      <c r="M132">
        <v>129</v>
      </c>
      <c r="N132" s="11">
        <v>2.1407305429034706</v>
      </c>
      <c r="O132" s="11">
        <v>-0.14073054290347065</v>
      </c>
    </row>
    <row r="133" spans="13:15" x14ac:dyDescent="0.3">
      <c r="M133">
        <v>130</v>
      </c>
      <c r="N133" s="11">
        <v>3.3626924679766623</v>
      </c>
      <c r="O133" s="11">
        <v>-1.1826924679766622</v>
      </c>
    </row>
    <row r="134" spans="13:15" x14ac:dyDescent="0.3">
      <c r="M134">
        <v>131</v>
      </c>
      <c r="N134" s="11">
        <v>2.8334717811010153</v>
      </c>
      <c r="O134" s="11">
        <v>-1.3334717811010153</v>
      </c>
    </row>
    <row r="135" spans="13:15" x14ac:dyDescent="0.3">
      <c r="M135">
        <v>132</v>
      </c>
      <c r="N135" s="11">
        <v>2.9801240641505315</v>
      </c>
      <c r="O135" s="11">
        <v>-0.15012406415053148</v>
      </c>
    </row>
    <row r="136" spans="13:15" x14ac:dyDescent="0.3">
      <c r="M136">
        <v>133</v>
      </c>
      <c r="N136" s="11">
        <v>2.120902349488186</v>
      </c>
      <c r="O136" s="11">
        <v>-0.62090234948818601</v>
      </c>
    </row>
    <row r="137" spans="13:15" x14ac:dyDescent="0.3">
      <c r="M137">
        <v>134</v>
      </c>
      <c r="N137" s="11">
        <v>2.2238201153103789</v>
      </c>
      <c r="O137" s="11">
        <v>-0.22382011531037893</v>
      </c>
    </row>
    <row r="138" spans="13:15" x14ac:dyDescent="0.3">
      <c r="M138">
        <v>135</v>
      </c>
      <c r="N138" s="11">
        <v>2.7903399271756619</v>
      </c>
      <c r="O138" s="11">
        <v>0.45966007282433807</v>
      </c>
    </row>
    <row r="139" spans="13:15" x14ac:dyDescent="0.3">
      <c r="M139">
        <v>136</v>
      </c>
      <c r="N139" s="11">
        <v>1.8697452328945769</v>
      </c>
      <c r="O139" s="11">
        <v>-0.61974523289457695</v>
      </c>
    </row>
    <row r="140" spans="13:15" x14ac:dyDescent="0.3">
      <c r="M140">
        <v>137</v>
      </c>
      <c r="N140" s="11">
        <v>2.0415895758270461</v>
      </c>
      <c r="O140" s="11">
        <v>-4.1589575827046144E-2</v>
      </c>
    </row>
    <row r="141" spans="13:15" x14ac:dyDescent="0.3">
      <c r="M141">
        <v>138</v>
      </c>
      <c r="N141" s="11">
        <v>2.4022738560479429</v>
      </c>
      <c r="O141" s="11">
        <v>-0.40227385604794286</v>
      </c>
    </row>
    <row r="142" spans="13:15" x14ac:dyDescent="0.3">
      <c r="M142">
        <v>139</v>
      </c>
      <c r="N142" s="11">
        <v>2.4594101518836791</v>
      </c>
      <c r="O142" s="11">
        <v>-0.45941015188367906</v>
      </c>
    </row>
    <row r="143" spans="13:15" x14ac:dyDescent="0.3">
      <c r="M143">
        <v>140</v>
      </c>
      <c r="N143" s="11">
        <v>2.308798087090171</v>
      </c>
      <c r="O143" s="11">
        <v>0.44120191290982902</v>
      </c>
    </row>
    <row r="144" spans="13:15" x14ac:dyDescent="0.3">
      <c r="M144">
        <v>141</v>
      </c>
      <c r="N144" s="11">
        <v>2.715748151946733</v>
      </c>
      <c r="O144" s="11">
        <v>0.78425184805326698</v>
      </c>
    </row>
    <row r="145" spans="13:15" x14ac:dyDescent="0.3">
      <c r="M145">
        <v>142</v>
      </c>
      <c r="N145" s="11">
        <v>4.9749037204510982</v>
      </c>
      <c r="O145" s="11">
        <v>1.725096279548902</v>
      </c>
    </row>
    <row r="146" spans="13:15" x14ac:dyDescent="0.3">
      <c r="M146">
        <v>143</v>
      </c>
      <c r="N146" s="11">
        <v>5.4493673002634448</v>
      </c>
      <c r="O146" s="11">
        <v>-0.44936730026344485</v>
      </c>
    </row>
    <row r="147" spans="13:15" x14ac:dyDescent="0.3">
      <c r="M147">
        <v>144</v>
      </c>
      <c r="N147" s="11">
        <v>4.3246514681434496</v>
      </c>
      <c r="O147" s="11">
        <v>0.67534853185655042</v>
      </c>
    </row>
    <row r="148" spans="13:15" x14ac:dyDescent="0.3">
      <c r="M148">
        <v>145</v>
      </c>
      <c r="N148" s="11">
        <v>2.6175513845567506</v>
      </c>
      <c r="O148" s="11">
        <v>-0.3175513845567508</v>
      </c>
    </row>
    <row r="149" spans="13:15" x14ac:dyDescent="0.3">
      <c r="M149">
        <v>146</v>
      </c>
      <c r="N149" s="11">
        <v>1.8546380379115026</v>
      </c>
      <c r="O149" s="11">
        <v>-0.35463803791150261</v>
      </c>
    </row>
    <row r="150" spans="13:15" x14ac:dyDescent="0.3">
      <c r="M150">
        <v>147</v>
      </c>
      <c r="N150" s="11">
        <v>3.0023095194067499</v>
      </c>
      <c r="O150" s="11">
        <v>-1.6423095194067499</v>
      </c>
    </row>
    <row r="151" spans="13:15" x14ac:dyDescent="0.3">
      <c r="M151">
        <v>148</v>
      </c>
      <c r="N151" s="11">
        <v>2.1869963275391351</v>
      </c>
      <c r="O151" s="11">
        <v>-0.55699632753913519</v>
      </c>
    </row>
    <row r="152" spans="13:15" x14ac:dyDescent="0.3">
      <c r="M152">
        <v>149</v>
      </c>
      <c r="N152" s="11">
        <v>1.9553660727098268</v>
      </c>
      <c r="O152" s="11">
        <v>-0.22536607270982678</v>
      </c>
    </row>
    <row r="153" spans="13:15" x14ac:dyDescent="0.3">
      <c r="M153">
        <v>150</v>
      </c>
      <c r="N153" s="11">
        <v>1.7410327438874615</v>
      </c>
      <c r="O153" s="11">
        <v>0.25896725611253846</v>
      </c>
    </row>
    <row r="154" spans="13:15" x14ac:dyDescent="0.3">
      <c r="M154">
        <v>151</v>
      </c>
      <c r="N154" s="11">
        <v>2.426492808548514</v>
      </c>
      <c r="O154" s="11">
        <v>7.3507191451485987E-2</v>
      </c>
    </row>
    <row r="155" spans="13:15" x14ac:dyDescent="0.3">
      <c r="M155">
        <v>152</v>
      </c>
      <c r="N155" s="11">
        <v>2.3377380380229531</v>
      </c>
      <c r="O155" s="11">
        <v>-0.3377380380229531</v>
      </c>
    </row>
    <row r="156" spans="13:15" x14ac:dyDescent="0.3">
      <c r="M156">
        <v>153</v>
      </c>
      <c r="N156" s="11">
        <v>2.9037825126698436</v>
      </c>
      <c r="O156" s="11">
        <v>-0.16378251266984334</v>
      </c>
    </row>
    <row r="157" spans="13:15" x14ac:dyDescent="0.3">
      <c r="M157">
        <v>154</v>
      </c>
      <c r="N157" s="11">
        <v>3.7681940882324496</v>
      </c>
      <c r="O157" s="11">
        <v>-1.7681940882324496</v>
      </c>
    </row>
    <row r="158" spans="13:15" x14ac:dyDescent="0.3">
      <c r="M158">
        <v>155</v>
      </c>
      <c r="N158" s="11">
        <v>3.3168666381131073</v>
      </c>
      <c r="O158" s="11">
        <v>-1.3168666381131073</v>
      </c>
    </row>
    <row r="159" spans="13:15" x14ac:dyDescent="0.3">
      <c r="M159">
        <v>156</v>
      </c>
      <c r="N159" s="11">
        <v>4.4790024465559721</v>
      </c>
      <c r="O159" s="11">
        <v>0.66099755344402755</v>
      </c>
    </row>
    <row r="160" spans="13:15" x14ac:dyDescent="0.3">
      <c r="M160">
        <v>157</v>
      </c>
      <c r="N160" s="11">
        <v>6.3505737559013546</v>
      </c>
      <c r="O160" s="11">
        <v>-1.3505737559013546</v>
      </c>
    </row>
    <row r="161" spans="13:15" x14ac:dyDescent="0.3">
      <c r="M161">
        <v>158</v>
      </c>
      <c r="N161" s="11">
        <v>3.8449755944852471</v>
      </c>
      <c r="O161" s="11">
        <v>-9.4975594485247061E-2</v>
      </c>
    </row>
    <row r="162" spans="13:15" x14ac:dyDescent="0.3">
      <c r="M162">
        <v>159</v>
      </c>
      <c r="N162" s="11">
        <v>2.3965797502333501</v>
      </c>
      <c r="O162" s="11">
        <v>0.21342024976664975</v>
      </c>
    </row>
    <row r="163" spans="13:15" x14ac:dyDescent="0.3">
      <c r="M163">
        <v>160</v>
      </c>
      <c r="N163" s="11">
        <v>3.0071691409600856</v>
      </c>
      <c r="O163" s="11">
        <v>-1.0071691409600856</v>
      </c>
    </row>
    <row r="164" spans="13:15" x14ac:dyDescent="0.3">
      <c r="M164">
        <v>161</v>
      </c>
      <c r="N164" s="11">
        <v>3.4802131838675971</v>
      </c>
      <c r="O164" s="11">
        <v>1.9786816132402851E-2</v>
      </c>
    </row>
    <row r="165" spans="13:15" x14ac:dyDescent="0.3">
      <c r="M165">
        <v>162</v>
      </c>
      <c r="N165" s="11">
        <v>2.2933606527601729</v>
      </c>
      <c r="O165" s="11">
        <v>0.20663934723982713</v>
      </c>
    </row>
    <row r="166" spans="13:15" x14ac:dyDescent="0.3">
      <c r="M166">
        <v>163</v>
      </c>
      <c r="N166" s="11">
        <v>2.8389340659563205</v>
      </c>
      <c r="O166" s="11">
        <v>-0.83893406595632047</v>
      </c>
    </row>
    <row r="167" spans="13:15" x14ac:dyDescent="0.3">
      <c r="M167">
        <v>164</v>
      </c>
      <c r="N167" s="11">
        <v>2.4019436167010184</v>
      </c>
      <c r="O167" s="11">
        <v>-0.40194361670101841</v>
      </c>
    </row>
    <row r="168" spans="13:15" x14ac:dyDescent="0.3">
      <c r="M168">
        <v>165</v>
      </c>
      <c r="N168" s="11">
        <v>2.7023418952543534</v>
      </c>
      <c r="O168" s="11">
        <v>0.29765810474564658</v>
      </c>
    </row>
    <row r="169" spans="13:15" x14ac:dyDescent="0.3">
      <c r="M169">
        <v>166</v>
      </c>
      <c r="N169" s="11">
        <v>3.5892714850268357</v>
      </c>
      <c r="O169" s="11">
        <v>-0.1092714850268357</v>
      </c>
    </row>
    <row r="170" spans="13:15" x14ac:dyDescent="0.3">
      <c r="M170">
        <v>167</v>
      </c>
      <c r="N170" s="11">
        <v>3.0581623987783049</v>
      </c>
      <c r="O170" s="11">
        <v>-0.81816239877830466</v>
      </c>
    </row>
    <row r="171" spans="13:15" x14ac:dyDescent="0.3">
      <c r="M171">
        <v>168</v>
      </c>
      <c r="N171" s="11">
        <v>4.4442410637250207</v>
      </c>
      <c r="O171" s="11">
        <v>5.5758936274979298E-2</v>
      </c>
    </row>
    <row r="172" spans="13:15" x14ac:dyDescent="0.3">
      <c r="M172">
        <v>169</v>
      </c>
      <c r="N172" s="11">
        <v>1.952051957795859</v>
      </c>
      <c r="O172" s="11">
        <v>-0.34205195779585895</v>
      </c>
    </row>
    <row r="173" spans="13:15" x14ac:dyDescent="0.3">
      <c r="M173">
        <v>170</v>
      </c>
      <c r="N173" s="11">
        <v>1.9558287565416279</v>
      </c>
      <c r="O173" s="11">
        <v>4.4171243458372089E-2</v>
      </c>
    </row>
    <row r="174" spans="13:15" x14ac:dyDescent="0.3">
      <c r="M174">
        <v>171</v>
      </c>
      <c r="N174" s="11">
        <v>5.8914205804495259</v>
      </c>
      <c r="O174" s="11">
        <v>4.1085794195504741</v>
      </c>
    </row>
    <row r="175" spans="13:15" x14ac:dyDescent="0.3">
      <c r="M175">
        <v>172</v>
      </c>
      <c r="N175" s="11">
        <v>2.4106316737557538</v>
      </c>
      <c r="O175" s="11">
        <v>0.74936832624424632</v>
      </c>
    </row>
    <row r="176" spans="13:15" x14ac:dyDescent="0.3">
      <c r="M176">
        <v>173</v>
      </c>
      <c r="N176" s="11">
        <v>1.6993004966018179</v>
      </c>
      <c r="O176" s="11">
        <v>3.4506995033981824</v>
      </c>
    </row>
    <row r="177" spans="13:15" x14ac:dyDescent="0.3">
      <c r="M177">
        <v>174</v>
      </c>
      <c r="N177" s="11">
        <v>4.0220317252494784</v>
      </c>
      <c r="O177" s="11">
        <v>-0.84203172524947822</v>
      </c>
    </row>
    <row r="178" spans="13:15" x14ac:dyDescent="0.3">
      <c r="M178">
        <v>175</v>
      </c>
      <c r="N178" s="11">
        <v>2.6028995965269441</v>
      </c>
      <c r="O178" s="11">
        <v>1.3971004034730559</v>
      </c>
    </row>
    <row r="179" spans="13:15" x14ac:dyDescent="0.3">
      <c r="M179">
        <v>176</v>
      </c>
      <c r="N179" s="11">
        <v>4.1211726923259029</v>
      </c>
      <c r="O179" s="11">
        <v>-1.011172692325903</v>
      </c>
    </row>
    <row r="180" spans="13:15" x14ac:dyDescent="0.3">
      <c r="M180">
        <v>177</v>
      </c>
      <c r="N180" s="11">
        <v>2.7039289629762528</v>
      </c>
      <c r="O180" s="11">
        <v>-0.70392896297625285</v>
      </c>
    </row>
    <row r="181" spans="13:15" x14ac:dyDescent="0.3">
      <c r="M181">
        <v>178</v>
      </c>
      <c r="N181" s="11">
        <v>2.3819568698994837</v>
      </c>
      <c r="O181" s="11">
        <v>-0.38195686989948374</v>
      </c>
    </row>
    <row r="182" spans="13:15" x14ac:dyDescent="0.3">
      <c r="M182">
        <v>179</v>
      </c>
      <c r="N182" s="11">
        <v>1.9554799432786218</v>
      </c>
      <c r="O182" s="11">
        <v>2.0445200567213782</v>
      </c>
    </row>
    <row r="183" spans="13:15" x14ac:dyDescent="0.3">
      <c r="M183">
        <v>180</v>
      </c>
      <c r="N183" s="11">
        <v>4.2845192380803931</v>
      </c>
      <c r="O183" s="11">
        <v>-0.73451923808039332</v>
      </c>
    </row>
    <row r="184" spans="13:15" x14ac:dyDescent="0.3">
      <c r="M184">
        <v>181</v>
      </c>
      <c r="N184" s="11">
        <v>4.6385876457458508</v>
      </c>
      <c r="O184" s="11">
        <v>-0.95858764574585065</v>
      </c>
    </row>
    <row r="185" spans="13:15" x14ac:dyDescent="0.3">
      <c r="M185">
        <v>182</v>
      </c>
      <c r="N185" s="11">
        <v>3.2175735924007762</v>
      </c>
      <c r="O185" s="11">
        <v>2.4324264075992241</v>
      </c>
    </row>
    <row r="186" spans="13:15" x14ac:dyDescent="0.3">
      <c r="M186">
        <v>183</v>
      </c>
      <c r="N186" s="11">
        <v>5.4727913060926525</v>
      </c>
      <c r="O186" s="11">
        <v>-1.9727913060926525</v>
      </c>
    </row>
    <row r="187" spans="13:15" x14ac:dyDescent="0.3">
      <c r="M187">
        <v>184</v>
      </c>
      <c r="N187" s="11">
        <v>3.554646405710276</v>
      </c>
      <c r="O187" s="11">
        <v>2.945353594289724</v>
      </c>
    </row>
    <row r="188" spans="13:15" x14ac:dyDescent="0.3">
      <c r="M188">
        <v>185</v>
      </c>
      <c r="N188" s="11">
        <v>4.8434854524541384</v>
      </c>
      <c r="O188" s="11">
        <v>-1.8434854524541384</v>
      </c>
    </row>
    <row r="189" spans="13:15" x14ac:dyDescent="0.3">
      <c r="M189">
        <v>186</v>
      </c>
      <c r="N189" s="11">
        <v>3.5798230134120712</v>
      </c>
      <c r="O189" s="11">
        <v>1.4201769865879288</v>
      </c>
    </row>
    <row r="190" spans="13:15" x14ac:dyDescent="0.3">
      <c r="M190">
        <v>187</v>
      </c>
      <c r="N190" s="11">
        <v>3.198515593104525</v>
      </c>
      <c r="O190" s="11">
        <v>0.30148440689547495</v>
      </c>
    </row>
    <row r="191" spans="13:15" x14ac:dyDescent="0.3">
      <c r="M191">
        <v>188</v>
      </c>
      <c r="N191" s="11">
        <v>4.4190579812728821</v>
      </c>
      <c r="O191" s="11">
        <v>-2.4190579812728821</v>
      </c>
    </row>
    <row r="192" spans="13:15" x14ac:dyDescent="0.3">
      <c r="M192">
        <v>189</v>
      </c>
      <c r="N192" s="11">
        <v>2.938860679332937</v>
      </c>
      <c r="O192" s="11">
        <v>0.56113932066706296</v>
      </c>
    </row>
    <row r="193" spans="13:15" x14ac:dyDescent="0.3">
      <c r="M193">
        <v>190</v>
      </c>
      <c r="N193" s="11">
        <v>3.3719470037588946</v>
      </c>
      <c r="O193" s="11">
        <v>0.62805299624110544</v>
      </c>
    </row>
    <row r="194" spans="13:15" x14ac:dyDescent="0.3">
      <c r="M194">
        <v>191</v>
      </c>
      <c r="N194" s="11">
        <v>2.4962050319589828</v>
      </c>
      <c r="O194" s="11">
        <v>-0.9962050319589828</v>
      </c>
    </row>
    <row r="195" spans="13:15" x14ac:dyDescent="0.3">
      <c r="M195">
        <v>192</v>
      </c>
      <c r="N195" s="11">
        <v>2.8534427527810351</v>
      </c>
      <c r="O195" s="11">
        <v>1.3365572472189653</v>
      </c>
    </row>
    <row r="196" spans="13:15" x14ac:dyDescent="0.3">
      <c r="M196">
        <v>193</v>
      </c>
      <c r="N196" s="11">
        <v>3.6339945618176994</v>
      </c>
      <c r="O196" s="11">
        <v>-1.0739945618176994</v>
      </c>
    </row>
    <row r="197" spans="13:15" x14ac:dyDescent="0.3">
      <c r="M197">
        <v>194</v>
      </c>
      <c r="N197" s="11">
        <v>2.4103117681886879</v>
      </c>
      <c r="O197" s="11">
        <v>-0.39031176818868785</v>
      </c>
    </row>
    <row r="198" spans="13:15" x14ac:dyDescent="0.3">
      <c r="M198">
        <v>195</v>
      </c>
      <c r="N198" s="11">
        <v>2.5141737336973229</v>
      </c>
      <c r="O198" s="11">
        <v>1.4858262663026771</v>
      </c>
    </row>
    <row r="199" spans="13:15" x14ac:dyDescent="0.3">
      <c r="M199">
        <v>196</v>
      </c>
      <c r="N199" s="11">
        <v>1.7457537423196721</v>
      </c>
      <c r="O199" s="11">
        <v>-0.30575374231967212</v>
      </c>
    </row>
    <row r="200" spans="13:15" x14ac:dyDescent="0.3">
      <c r="M200">
        <v>197</v>
      </c>
      <c r="N200" s="11">
        <v>1.9249931293574287</v>
      </c>
      <c r="O200" s="11">
        <v>7.5006870642571277E-2</v>
      </c>
    </row>
    <row r="201" spans="13:15" x14ac:dyDescent="0.3">
      <c r="M201">
        <v>198</v>
      </c>
      <c r="N201" s="11">
        <v>5.4056080304837923</v>
      </c>
      <c r="O201" s="11">
        <v>-0.40560803048379235</v>
      </c>
    </row>
    <row r="202" spans="13:15" x14ac:dyDescent="0.3">
      <c r="M202">
        <v>199</v>
      </c>
      <c r="N202" s="11">
        <v>2.210442766313939</v>
      </c>
      <c r="O202" s="11">
        <v>-0.21044276631393899</v>
      </c>
    </row>
    <row r="203" spans="13:15" x14ac:dyDescent="0.3">
      <c r="M203">
        <v>200</v>
      </c>
      <c r="N203" s="11">
        <v>2.2243044299595867</v>
      </c>
      <c r="O203" s="11">
        <v>-0.22430442995958666</v>
      </c>
    </row>
    <row r="204" spans="13:15" x14ac:dyDescent="0.3">
      <c r="M204">
        <v>201</v>
      </c>
      <c r="N204" s="11">
        <v>2.8913782710557858</v>
      </c>
      <c r="O204" s="11">
        <v>1.1086217289442142</v>
      </c>
    </row>
    <row r="205" spans="13:15" x14ac:dyDescent="0.3">
      <c r="M205">
        <v>202</v>
      </c>
      <c r="N205" s="11">
        <v>2.1858935744664434</v>
      </c>
      <c r="O205" s="11">
        <v>-0.1758935744664436</v>
      </c>
    </row>
    <row r="206" spans="13:15" x14ac:dyDescent="0.3">
      <c r="M206">
        <v>203</v>
      </c>
      <c r="N206" s="11">
        <v>2.531470659704266</v>
      </c>
      <c r="O206" s="11">
        <v>-3.1470659704265991E-2</v>
      </c>
    </row>
    <row r="207" spans="13:15" x14ac:dyDescent="0.3">
      <c r="M207">
        <v>204</v>
      </c>
      <c r="N207" s="11">
        <v>3.2393126181345417</v>
      </c>
      <c r="O207" s="11">
        <v>0.76068738186545826</v>
      </c>
    </row>
    <row r="208" spans="13:15" x14ac:dyDescent="0.3">
      <c r="M208">
        <v>205</v>
      </c>
      <c r="N208" s="11">
        <v>2.7141700616556479</v>
      </c>
      <c r="O208" s="11">
        <v>0.51582993834435209</v>
      </c>
    </row>
    <row r="209" spans="13:15" x14ac:dyDescent="0.3">
      <c r="M209">
        <v>206</v>
      </c>
      <c r="N209" s="11">
        <v>3.6045689398866658</v>
      </c>
      <c r="O209" s="11">
        <v>-0.19456893988666568</v>
      </c>
    </row>
    <row r="210" spans="13:15" x14ac:dyDescent="0.3">
      <c r="M210">
        <v>207</v>
      </c>
      <c r="N210" s="11">
        <v>4.9269173633737093</v>
      </c>
      <c r="O210" s="11">
        <v>-1.9269173633737093</v>
      </c>
    </row>
    <row r="211" spans="13:15" x14ac:dyDescent="0.3">
      <c r="M211">
        <v>208</v>
      </c>
      <c r="N211" s="11">
        <v>3.2094246084858025</v>
      </c>
      <c r="O211" s="11">
        <v>-1.1794246084858027</v>
      </c>
    </row>
    <row r="212" spans="13:15" x14ac:dyDescent="0.3">
      <c r="M212">
        <v>209</v>
      </c>
      <c r="N212" s="11">
        <v>2.1569432897538032</v>
      </c>
      <c r="O212" s="11">
        <v>7.3056710246196754E-2</v>
      </c>
    </row>
    <row r="213" spans="13:15" x14ac:dyDescent="0.3">
      <c r="M213">
        <v>210</v>
      </c>
      <c r="N213" s="11">
        <v>3.932206231082088</v>
      </c>
      <c r="O213" s="11">
        <v>-1.932206231082088</v>
      </c>
    </row>
    <row r="214" spans="13:15" x14ac:dyDescent="0.3">
      <c r="M214">
        <v>211</v>
      </c>
      <c r="N214" s="11">
        <v>3.7145649659820035</v>
      </c>
      <c r="O214" s="11">
        <v>1.4454350340179967</v>
      </c>
    </row>
    <row r="215" spans="13:15" x14ac:dyDescent="0.3">
      <c r="M215">
        <v>212</v>
      </c>
      <c r="N215" s="11">
        <v>5.9165971881513197</v>
      </c>
      <c r="O215" s="11">
        <v>3.0834028118486803</v>
      </c>
    </row>
    <row r="216" spans="13:15" x14ac:dyDescent="0.3">
      <c r="M216">
        <v>213</v>
      </c>
      <c r="N216" s="11">
        <v>2.2050974737623523</v>
      </c>
      <c r="O216" s="11">
        <v>0.29490252623764768</v>
      </c>
    </row>
    <row r="217" spans="13:15" x14ac:dyDescent="0.3">
      <c r="M217">
        <v>214</v>
      </c>
      <c r="N217" s="11">
        <v>3.7880450107074255</v>
      </c>
      <c r="O217" s="11">
        <v>2.7119549892925745</v>
      </c>
    </row>
    <row r="218" spans="13:15" x14ac:dyDescent="0.3">
      <c r="M218">
        <v>215</v>
      </c>
      <c r="N218" s="11">
        <v>2.1701620853639931</v>
      </c>
      <c r="O218" s="11">
        <v>-1.070162085363993</v>
      </c>
    </row>
    <row r="219" spans="13:15" x14ac:dyDescent="0.3">
      <c r="M219">
        <v>216</v>
      </c>
      <c r="N219" s="11">
        <v>4.1040440992642138</v>
      </c>
      <c r="O219" s="11">
        <v>-1.1040440992642138</v>
      </c>
    </row>
    <row r="220" spans="13:15" x14ac:dyDescent="0.3">
      <c r="M220">
        <v>217</v>
      </c>
      <c r="N220" s="11">
        <v>2.0121794060771716</v>
      </c>
      <c r="O220" s="11">
        <v>-0.51217940607717161</v>
      </c>
    </row>
    <row r="221" spans="13:15" x14ac:dyDescent="0.3">
      <c r="M221">
        <v>218</v>
      </c>
      <c r="N221" s="11">
        <v>1.6486625267969481</v>
      </c>
      <c r="O221" s="11">
        <v>-0.20866252679694819</v>
      </c>
    </row>
    <row r="222" spans="13:15" x14ac:dyDescent="0.3">
      <c r="M222">
        <v>219</v>
      </c>
      <c r="N222" s="11">
        <v>4.1501423530828134</v>
      </c>
      <c r="O222" s="11">
        <v>-1.0601423530828136</v>
      </c>
    </row>
    <row r="223" spans="13:15" x14ac:dyDescent="0.3">
      <c r="M223">
        <v>220</v>
      </c>
      <c r="N223" s="11">
        <v>2.253990835229664</v>
      </c>
      <c r="O223" s="11">
        <v>-5.3990835229663858E-2</v>
      </c>
    </row>
    <row r="224" spans="13:15" x14ac:dyDescent="0.3">
      <c r="M224">
        <v>221</v>
      </c>
      <c r="N224" s="11">
        <v>2.407252516084275</v>
      </c>
      <c r="O224" s="11">
        <v>1.0727474839157249</v>
      </c>
    </row>
    <row r="225" spans="13:15" x14ac:dyDescent="0.3">
      <c r="M225">
        <v>222</v>
      </c>
      <c r="N225" s="11">
        <v>1.7398773433370915</v>
      </c>
      <c r="O225" s="11">
        <v>0.18012265666290839</v>
      </c>
    </row>
    <row r="226" spans="13:15" x14ac:dyDescent="0.3">
      <c r="M226">
        <v>223</v>
      </c>
      <c r="N226" s="11">
        <v>2.9083057657529077</v>
      </c>
      <c r="O226" s="11">
        <v>9.1694234247092332E-2</v>
      </c>
    </row>
    <row r="227" spans="13:15" x14ac:dyDescent="0.3">
      <c r="M227">
        <v>224</v>
      </c>
      <c r="N227" s="11">
        <v>2.3729599957213736</v>
      </c>
      <c r="O227" s="11">
        <v>-0.79295999572137355</v>
      </c>
    </row>
    <row r="228" spans="13:15" x14ac:dyDescent="0.3">
      <c r="M228">
        <v>225</v>
      </c>
      <c r="N228" s="11">
        <v>2.6763494267202845</v>
      </c>
      <c r="O228" s="11">
        <v>-0.17634942672028453</v>
      </c>
    </row>
    <row r="229" spans="13:15" x14ac:dyDescent="0.3">
      <c r="M229">
        <v>226</v>
      </c>
      <c r="N229" s="11">
        <v>2.0928340204990432</v>
      </c>
      <c r="O229" s="11">
        <v>-9.2834020499043213E-2</v>
      </c>
    </row>
    <row r="230" spans="13:15" x14ac:dyDescent="0.3">
      <c r="M230">
        <v>227</v>
      </c>
      <c r="N230" s="11">
        <v>3.284168462350638</v>
      </c>
      <c r="O230" s="11">
        <v>-0.28416846235063797</v>
      </c>
    </row>
    <row r="231" spans="13:15" x14ac:dyDescent="0.3">
      <c r="M231">
        <v>228</v>
      </c>
      <c r="N231" s="11">
        <v>2.2549972788790509</v>
      </c>
      <c r="O231" s="11">
        <v>0.46500272112094931</v>
      </c>
    </row>
    <row r="232" spans="13:15" x14ac:dyDescent="0.3">
      <c r="M232">
        <v>229</v>
      </c>
      <c r="N232" s="11">
        <v>3.0407141962636448</v>
      </c>
      <c r="O232" s="11">
        <v>-0.16071419626364492</v>
      </c>
    </row>
    <row r="233" spans="13:15" x14ac:dyDescent="0.3">
      <c r="M233">
        <v>230</v>
      </c>
      <c r="N233" s="11">
        <v>3.5370554249308817</v>
      </c>
      <c r="O233" s="11">
        <v>-1.5370554249308817</v>
      </c>
    </row>
    <row r="234" spans="13:15" x14ac:dyDescent="0.3">
      <c r="M234">
        <v>231</v>
      </c>
      <c r="N234" s="11">
        <v>2.5753912816647349</v>
      </c>
      <c r="O234" s="11">
        <v>0.42460871833526515</v>
      </c>
    </row>
    <row r="235" spans="13:15" x14ac:dyDescent="0.3">
      <c r="M235">
        <v>232</v>
      </c>
      <c r="N235" s="11">
        <v>2.0973159312432137</v>
      </c>
      <c r="O235" s="11">
        <v>1.2926840687567864</v>
      </c>
    </row>
    <row r="236" spans="13:15" x14ac:dyDescent="0.3">
      <c r="M236">
        <v>233</v>
      </c>
      <c r="N236" s="11">
        <v>2.0180031575820738</v>
      </c>
      <c r="O236" s="11">
        <v>-0.54800315758207385</v>
      </c>
    </row>
    <row r="237" spans="13:15" x14ac:dyDescent="0.3">
      <c r="M237">
        <v>234</v>
      </c>
      <c r="N237" s="11">
        <v>2.384194082535374</v>
      </c>
      <c r="O237" s="11">
        <v>0.61580591746462598</v>
      </c>
    </row>
    <row r="238" spans="13:15" x14ac:dyDescent="0.3">
      <c r="M238">
        <v>235</v>
      </c>
      <c r="N238" s="11">
        <v>1.9519091795311245</v>
      </c>
      <c r="O238" s="11">
        <v>-0.70190917953112453</v>
      </c>
    </row>
    <row r="239" spans="13:15" x14ac:dyDescent="0.3">
      <c r="M239">
        <v>236</v>
      </c>
      <c r="N239" s="11">
        <v>2.1075435744078277</v>
      </c>
      <c r="O239" s="11">
        <v>-1.1075435744078277</v>
      </c>
    </row>
    <row r="240" spans="13:15" x14ac:dyDescent="0.3">
      <c r="M240">
        <v>237</v>
      </c>
      <c r="N240" s="11">
        <v>4.017659540080273</v>
      </c>
      <c r="O240" s="11">
        <v>-2.8476595400802731</v>
      </c>
    </row>
    <row r="241" spans="12:15" x14ac:dyDescent="0.3">
      <c r="M241">
        <v>238</v>
      </c>
      <c r="N241" s="11">
        <v>4.5945500963152615</v>
      </c>
      <c r="O241" s="11">
        <v>7.5449903684738473E-2</v>
      </c>
    </row>
    <row r="242" spans="12:15" x14ac:dyDescent="0.3">
      <c r="M242">
        <v>239</v>
      </c>
      <c r="N242" s="11">
        <v>3.9182017891717056</v>
      </c>
      <c r="O242" s="11">
        <v>2.0017982108282943</v>
      </c>
    </row>
    <row r="243" spans="12:15" x14ac:dyDescent="0.3">
      <c r="M243">
        <v>240</v>
      </c>
      <c r="N243" s="11">
        <v>3.5184792376033669</v>
      </c>
      <c r="O243" s="11">
        <v>-1.5184792376033669</v>
      </c>
    </row>
    <row r="244" spans="12:15" x14ac:dyDescent="0.3">
      <c r="M244">
        <v>241</v>
      </c>
      <c r="N244" s="11">
        <v>3.0583526586550613</v>
      </c>
      <c r="O244" s="11">
        <v>-1.0583526586550613</v>
      </c>
    </row>
    <row r="245" spans="12:15" x14ac:dyDescent="0.3">
      <c r="M245">
        <v>242</v>
      </c>
      <c r="N245" s="11">
        <v>2.6836639365237818</v>
      </c>
      <c r="O245" s="11">
        <v>-0.93366393652378177</v>
      </c>
    </row>
    <row r="246" spans="12:15" ht="15" thickBot="1" x14ac:dyDescent="0.35">
      <c r="M246" s="16">
        <v>243</v>
      </c>
      <c r="N246" s="34">
        <v>2.7715699033446368</v>
      </c>
      <c r="O246" s="34">
        <v>0.22843009665536318</v>
      </c>
    </row>
    <row r="247" spans="12:15" ht="15" thickBot="1" x14ac:dyDescent="0.35">
      <c r="L247" s="16"/>
    </row>
  </sheetData>
  <phoneticPr fontId="14" type="noConversion"/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FC1BA2-4AA6-4E01-87DD-4B927EB4257F}">
  <dimension ref="B3:G16"/>
  <sheetViews>
    <sheetView workbookViewId="0">
      <selection activeCell="B11" sqref="B11"/>
    </sheetView>
  </sheetViews>
  <sheetFormatPr defaultRowHeight="14.4" x14ac:dyDescent="0.3"/>
  <cols>
    <col min="2" max="2" width="12.77734375" customWidth="1"/>
    <col min="4" max="4" width="12.33203125" customWidth="1"/>
    <col min="6" max="6" width="13" customWidth="1"/>
  </cols>
  <sheetData>
    <row r="3" spans="2:7" ht="15" thickBot="1" x14ac:dyDescent="0.35">
      <c r="B3" s="104" t="s">
        <v>142</v>
      </c>
      <c r="C3" s="104"/>
      <c r="D3" s="104" t="s">
        <v>425</v>
      </c>
      <c r="E3" s="104"/>
      <c r="F3" s="104" t="s">
        <v>424</v>
      </c>
      <c r="G3" s="104"/>
    </row>
    <row r="4" spans="2:7" x14ac:dyDescent="0.3">
      <c r="B4" s="25" t="s">
        <v>153</v>
      </c>
      <c r="C4" s="25"/>
      <c r="D4" s="25" t="s">
        <v>153</v>
      </c>
      <c r="E4" s="25"/>
      <c r="F4" s="25" t="s">
        <v>153</v>
      </c>
      <c r="G4" s="25"/>
    </row>
    <row r="5" spans="2:7" x14ac:dyDescent="0.3">
      <c r="B5" t="s">
        <v>154</v>
      </c>
      <c r="C5">
        <v>0.67499785654560762</v>
      </c>
      <c r="D5" t="s">
        <v>154</v>
      </c>
      <c r="E5">
        <v>0.68327752327495828</v>
      </c>
      <c r="F5" t="s">
        <v>154</v>
      </c>
      <c r="G5">
        <v>0.68485627106952807</v>
      </c>
    </row>
    <row r="6" spans="2:7" x14ac:dyDescent="0.3">
      <c r="B6" t="s">
        <v>155</v>
      </c>
      <c r="C6">
        <v>0.45562210634116462</v>
      </c>
      <c r="D6" t="s">
        <v>155</v>
      </c>
      <c r="E6">
        <v>0.46686817381276113</v>
      </c>
      <c r="F6" t="s">
        <v>155</v>
      </c>
      <c r="G6">
        <v>0.46902811202325889</v>
      </c>
    </row>
    <row r="7" spans="2:7" x14ac:dyDescent="0.3">
      <c r="B7" t="s">
        <v>156</v>
      </c>
      <c r="C7">
        <v>0.4533632769068956</v>
      </c>
      <c r="D7" t="s">
        <v>156</v>
      </c>
      <c r="E7">
        <v>0.46242540859453413</v>
      </c>
      <c r="F7" t="s">
        <v>156</v>
      </c>
      <c r="G7">
        <v>0.450875226964225</v>
      </c>
    </row>
    <row r="8" spans="2:7" x14ac:dyDescent="0.3">
      <c r="B8" t="s">
        <v>157</v>
      </c>
      <c r="C8">
        <v>1.023999664501051</v>
      </c>
      <c r="D8" t="s">
        <v>157</v>
      </c>
      <c r="E8">
        <v>1.0154762696404789</v>
      </c>
      <c r="F8" t="s">
        <v>157</v>
      </c>
      <c r="G8">
        <v>1.0263274168314602</v>
      </c>
    </row>
    <row r="9" spans="2:7" ht="15" thickBot="1" x14ac:dyDescent="0.35">
      <c r="B9" s="16" t="s">
        <v>78</v>
      </c>
      <c r="C9" s="16">
        <v>243</v>
      </c>
      <c r="D9" s="16" t="s">
        <v>78</v>
      </c>
      <c r="E9" s="16">
        <v>243</v>
      </c>
      <c r="F9" s="16" t="s">
        <v>78</v>
      </c>
      <c r="G9" s="16">
        <v>243</v>
      </c>
    </row>
    <row r="10" spans="2:7" x14ac:dyDescent="0.3">
      <c r="B10" t="s">
        <v>426</v>
      </c>
      <c r="C10">
        <f>SQRT('Model 1'!C17/'Model 1'!B12)</f>
        <v>1.019776967483278</v>
      </c>
      <c r="D10" t="s">
        <v>354</v>
      </c>
      <c r="E10">
        <f>'Model 2'!$B$33</f>
        <v>1.0091884304240073</v>
      </c>
      <c r="G10">
        <f>'Model 3'!B37</f>
        <v>1.0071420351123821</v>
      </c>
    </row>
    <row r="12" spans="2:7" ht="18" x14ac:dyDescent="0.35">
      <c r="B12" s="14" t="s">
        <v>427</v>
      </c>
    </row>
    <row r="13" spans="2:7" ht="18" x14ac:dyDescent="0.35">
      <c r="B13" s="14" t="s">
        <v>428</v>
      </c>
    </row>
    <row r="14" spans="2:7" ht="18" x14ac:dyDescent="0.35">
      <c r="B14" s="14" t="s">
        <v>429</v>
      </c>
    </row>
    <row r="15" spans="2:7" ht="18" x14ac:dyDescent="0.35">
      <c r="B15" s="14" t="s">
        <v>431</v>
      </c>
    </row>
    <row r="16" spans="2:7" ht="18" x14ac:dyDescent="0.35">
      <c r="B16" s="14" t="s">
        <v>430</v>
      </c>
    </row>
  </sheetData>
  <mergeCells count="3">
    <mergeCell ref="B3:C3"/>
    <mergeCell ref="D3:E3"/>
    <mergeCell ref="F3:G3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F0E376-1570-4553-8E26-A2AACD5F1D46}">
  <dimension ref="A1:J109"/>
  <sheetViews>
    <sheetView topLeftCell="A26" zoomScale="105" workbookViewId="0">
      <selection activeCell="E58" sqref="E58"/>
    </sheetView>
  </sheetViews>
  <sheetFormatPr defaultRowHeight="14.4" x14ac:dyDescent="0.3"/>
  <cols>
    <col min="1" max="1" width="18" customWidth="1"/>
    <col min="8" max="8" width="46.33203125" customWidth="1"/>
  </cols>
  <sheetData>
    <row r="1" spans="1:10" ht="31.2" x14ac:dyDescent="0.3">
      <c r="A1" s="24" t="s">
        <v>173</v>
      </c>
      <c r="H1" s="24" t="s">
        <v>215</v>
      </c>
    </row>
    <row r="3" spans="1:10" x14ac:dyDescent="0.3">
      <c r="A3" t="s">
        <v>174</v>
      </c>
      <c r="H3" t="s">
        <v>216</v>
      </c>
    </row>
    <row r="5" spans="1:10" x14ac:dyDescent="0.3">
      <c r="A5" s="28" t="s">
        <v>175</v>
      </c>
      <c r="B5" s="26" t="s">
        <v>176</v>
      </c>
      <c r="H5" t="s">
        <v>217</v>
      </c>
    </row>
    <row r="6" spans="1:10" x14ac:dyDescent="0.3">
      <c r="A6" s="23" t="s">
        <v>154</v>
      </c>
      <c r="B6" s="27">
        <v>0.68459999999999999</v>
      </c>
      <c r="H6" t="s">
        <v>218</v>
      </c>
    </row>
    <row r="7" spans="1:10" x14ac:dyDescent="0.3">
      <c r="A7" s="23" t="s">
        <v>155</v>
      </c>
      <c r="B7" s="27">
        <v>0.46870000000000001</v>
      </c>
    </row>
    <row r="8" spans="1:10" x14ac:dyDescent="0.3">
      <c r="A8" s="23" t="s">
        <v>156</v>
      </c>
      <c r="B8" s="27">
        <v>0.45519999999999999</v>
      </c>
      <c r="H8" t="s">
        <v>219</v>
      </c>
    </row>
    <row r="9" spans="1:10" x14ac:dyDescent="0.3">
      <c r="A9" s="23" t="s">
        <v>157</v>
      </c>
      <c r="B9" s="27">
        <v>1.022</v>
      </c>
      <c r="H9" t="s">
        <v>220</v>
      </c>
    </row>
    <row r="10" spans="1:10" x14ac:dyDescent="0.3">
      <c r="A10" s="23" t="s">
        <v>78</v>
      </c>
      <c r="B10" s="27">
        <v>243</v>
      </c>
      <c r="H10" t="s">
        <v>221</v>
      </c>
    </row>
    <row r="11" spans="1:10" x14ac:dyDescent="0.3">
      <c r="H11" t="s">
        <v>222</v>
      </c>
    </row>
    <row r="12" spans="1:10" x14ac:dyDescent="0.3">
      <c r="A12" s="23" t="s">
        <v>177</v>
      </c>
      <c r="B12" s="27">
        <v>0.68459999999999999</v>
      </c>
      <c r="H12" t="s">
        <v>231</v>
      </c>
      <c r="I12">
        <v>9.8699999999999992</v>
      </c>
    </row>
    <row r="13" spans="1:10" x14ac:dyDescent="0.3">
      <c r="A13" s="23" t="s">
        <v>178</v>
      </c>
      <c r="H13" t="s">
        <v>223</v>
      </c>
    </row>
    <row r="14" spans="1:10" x14ac:dyDescent="0.3">
      <c r="A14" s="23" t="s">
        <v>179</v>
      </c>
      <c r="H14" t="s">
        <v>224</v>
      </c>
    </row>
    <row r="15" spans="1:10" x14ac:dyDescent="0.3">
      <c r="A15" s="23" t="s">
        <v>180</v>
      </c>
      <c r="I15">
        <v>0.17399999999999999</v>
      </c>
    </row>
    <row r="16" spans="1:10" x14ac:dyDescent="0.3">
      <c r="H16" t="s">
        <v>230</v>
      </c>
      <c r="I16">
        <v>5.1499999999999997E-2</v>
      </c>
      <c r="J16" t="s">
        <v>227</v>
      </c>
    </row>
    <row r="17" spans="1:10" x14ac:dyDescent="0.3">
      <c r="A17" s="23" t="s">
        <v>181</v>
      </c>
      <c r="H17" t="s">
        <v>225</v>
      </c>
    </row>
    <row r="18" spans="1:10" x14ac:dyDescent="0.3">
      <c r="A18" s="23" t="s">
        <v>182</v>
      </c>
      <c r="B18">
        <v>0.46870000000000001</v>
      </c>
      <c r="H18" t="s">
        <v>226</v>
      </c>
    </row>
    <row r="19" spans="1:10" x14ac:dyDescent="0.3">
      <c r="A19" s="23" t="s">
        <v>183</v>
      </c>
      <c r="H19" t="s">
        <v>228</v>
      </c>
    </row>
    <row r="20" spans="1:10" x14ac:dyDescent="0.3">
      <c r="A20" s="23" t="s">
        <v>184</v>
      </c>
      <c r="H20" t="s">
        <v>229</v>
      </c>
    </row>
    <row r="21" spans="1:10" x14ac:dyDescent="0.3">
      <c r="A21" s="23" t="s">
        <v>185</v>
      </c>
    </row>
    <row r="22" spans="1:10" x14ac:dyDescent="0.3">
      <c r="A22" s="23" t="s">
        <v>186</v>
      </c>
      <c r="H22" t="s">
        <v>50</v>
      </c>
      <c r="I22">
        <v>-3.7069999999999999E-2</v>
      </c>
    </row>
    <row r="23" spans="1:10" x14ac:dyDescent="0.3">
      <c r="H23" t="s">
        <v>232</v>
      </c>
      <c r="I23">
        <v>0.79300000000000004</v>
      </c>
      <c r="J23" t="s">
        <v>227</v>
      </c>
    </row>
    <row r="24" spans="1:10" x14ac:dyDescent="0.3">
      <c r="A24" s="23" t="s">
        <v>187</v>
      </c>
      <c r="H24" t="s">
        <v>233</v>
      </c>
      <c r="I24">
        <v>-0.26</v>
      </c>
      <c r="J24" t="s">
        <v>234</v>
      </c>
    </row>
    <row r="25" spans="1:10" x14ac:dyDescent="0.3">
      <c r="A25" s="23" t="s">
        <v>188</v>
      </c>
      <c r="H25" t="s">
        <v>231</v>
      </c>
    </row>
    <row r="26" spans="1:10" x14ac:dyDescent="0.3">
      <c r="A26" s="23" t="s">
        <v>189</v>
      </c>
      <c r="H26" t="s">
        <v>235</v>
      </c>
    </row>
    <row r="27" spans="1:10" x14ac:dyDescent="0.3">
      <c r="A27" t="s">
        <v>190</v>
      </c>
    </row>
    <row r="28" spans="1:10" x14ac:dyDescent="0.3">
      <c r="A28" t="s">
        <v>191</v>
      </c>
      <c r="H28" t="s">
        <v>67</v>
      </c>
      <c r="I28">
        <v>-4.1000000000000002E-2</v>
      </c>
    </row>
    <row r="29" spans="1:10" x14ac:dyDescent="0.3">
      <c r="A29" t="s">
        <v>192</v>
      </c>
      <c r="H29" t="s">
        <v>232</v>
      </c>
      <c r="I29">
        <v>0.8</v>
      </c>
      <c r="J29" t="s">
        <v>227</v>
      </c>
    </row>
    <row r="30" spans="1:10" x14ac:dyDescent="0.3">
      <c r="A30" t="s">
        <v>193</v>
      </c>
      <c r="H30" t="s">
        <v>233</v>
      </c>
      <c r="I30">
        <v>-0.24</v>
      </c>
      <c r="J30" t="s">
        <v>234</v>
      </c>
    </row>
    <row r="31" spans="1:10" x14ac:dyDescent="0.3">
      <c r="A31" t="s">
        <v>194</v>
      </c>
      <c r="H31" t="s">
        <v>231</v>
      </c>
    </row>
    <row r="32" spans="1:10" x14ac:dyDescent="0.3">
      <c r="A32" t="s">
        <v>195</v>
      </c>
      <c r="H32" t="s">
        <v>236</v>
      </c>
    </row>
    <row r="33" spans="1:10" x14ac:dyDescent="0.3">
      <c r="A33" t="s">
        <v>196</v>
      </c>
    </row>
    <row r="34" spans="1:10" x14ac:dyDescent="0.3">
      <c r="H34" t="s">
        <v>66</v>
      </c>
      <c r="I34">
        <v>-3.5000000000000003E-2</v>
      </c>
    </row>
    <row r="35" spans="1:10" x14ac:dyDescent="0.3">
      <c r="A35" t="s">
        <v>197</v>
      </c>
      <c r="B35">
        <v>1.022</v>
      </c>
      <c r="H35" t="s">
        <v>237</v>
      </c>
      <c r="I35">
        <v>0.52</v>
      </c>
      <c r="J35" t="s">
        <v>227</v>
      </c>
    </row>
    <row r="36" spans="1:10" x14ac:dyDescent="0.3">
      <c r="A36" t="s">
        <v>198</v>
      </c>
      <c r="H36" t="s">
        <v>238</v>
      </c>
      <c r="I36">
        <v>-0.64</v>
      </c>
      <c r="J36" t="s">
        <v>234</v>
      </c>
    </row>
    <row r="37" spans="1:10" x14ac:dyDescent="0.3">
      <c r="A37" t="s">
        <v>199</v>
      </c>
      <c r="H37" t="s">
        <v>231</v>
      </c>
    </row>
    <row r="38" spans="1:10" x14ac:dyDescent="0.3">
      <c r="H38" t="s">
        <v>239</v>
      </c>
    </row>
    <row r="39" spans="1:10" x14ac:dyDescent="0.3">
      <c r="A39" t="s">
        <v>200</v>
      </c>
    </row>
    <row r="40" spans="1:10" ht="31.2" x14ac:dyDescent="0.3">
      <c r="A40" s="26" t="s">
        <v>201</v>
      </c>
      <c r="B40" s="26" t="s">
        <v>80</v>
      </c>
      <c r="C40" s="26" t="s">
        <v>163</v>
      </c>
      <c r="D40" s="26" t="s">
        <v>164</v>
      </c>
      <c r="E40" s="26" t="s">
        <v>165</v>
      </c>
      <c r="F40" s="26" t="s">
        <v>202</v>
      </c>
      <c r="H40" s="24" t="s">
        <v>240</v>
      </c>
    </row>
    <row r="41" spans="1:10" x14ac:dyDescent="0.3">
      <c r="A41" s="27" t="s">
        <v>159</v>
      </c>
      <c r="B41" s="27">
        <v>6</v>
      </c>
      <c r="C41" s="27">
        <v>217.56</v>
      </c>
      <c r="D41" s="27">
        <v>36.26</v>
      </c>
      <c r="E41" s="27">
        <v>34.69</v>
      </c>
      <c r="F41" s="29">
        <v>6.2699999999999997E-30</v>
      </c>
    </row>
    <row r="42" spans="1:10" x14ac:dyDescent="0.3">
      <c r="A42" s="27" t="s">
        <v>160</v>
      </c>
      <c r="B42" s="27">
        <v>236</v>
      </c>
      <c r="C42" s="27">
        <v>246.65</v>
      </c>
      <c r="D42" s="27">
        <v>1.0449999999999999</v>
      </c>
      <c r="E42" s="27"/>
      <c r="H42" t="s">
        <v>241</v>
      </c>
    </row>
    <row r="44" spans="1:10" x14ac:dyDescent="0.3">
      <c r="A44" t="s">
        <v>203</v>
      </c>
      <c r="H44" t="s">
        <v>242</v>
      </c>
    </row>
    <row r="45" spans="1:10" x14ac:dyDescent="0.3">
      <c r="A45" t="s">
        <v>204</v>
      </c>
    </row>
    <row r="46" spans="1:10" x14ac:dyDescent="0.3">
      <c r="A46" t="s">
        <v>205</v>
      </c>
      <c r="H46" t="s">
        <v>243</v>
      </c>
    </row>
    <row r="48" spans="1:10" x14ac:dyDescent="0.3">
      <c r="A48" t="s">
        <v>206</v>
      </c>
      <c r="H48" t="s">
        <v>244</v>
      </c>
    </row>
    <row r="49" spans="1:8" x14ac:dyDescent="0.3">
      <c r="A49" t="s">
        <v>207</v>
      </c>
    </row>
    <row r="50" spans="1:8" x14ac:dyDescent="0.3">
      <c r="A50" t="s">
        <v>208</v>
      </c>
      <c r="H50" t="s">
        <v>245</v>
      </c>
    </row>
    <row r="52" spans="1:8" x14ac:dyDescent="0.3">
      <c r="A52" t="s">
        <v>209</v>
      </c>
      <c r="H52" t="s">
        <v>246</v>
      </c>
    </row>
    <row r="53" spans="1:8" x14ac:dyDescent="0.3">
      <c r="A53" t="s">
        <v>210</v>
      </c>
    </row>
    <row r="54" spans="1:8" x14ac:dyDescent="0.3">
      <c r="A54" t="s">
        <v>211</v>
      </c>
      <c r="H54" t="s">
        <v>247</v>
      </c>
    </row>
    <row r="55" spans="1:8" x14ac:dyDescent="0.3">
      <c r="A55" t="s">
        <v>212</v>
      </c>
      <c r="C55" s="31" t="s">
        <v>96</v>
      </c>
      <c r="D55" t="s">
        <v>97</v>
      </c>
    </row>
    <row r="56" spans="1:8" x14ac:dyDescent="0.3">
      <c r="C56" s="31" t="s">
        <v>98</v>
      </c>
      <c r="D56" t="s">
        <v>99</v>
      </c>
      <c r="H56" t="s">
        <v>248</v>
      </c>
    </row>
    <row r="57" spans="1:8" x14ac:dyDescent="0.3">
      <c r="A57" t="s">
        <v>214</v>
      </c>
    </row>
    <row r="58" spans="1:8" ht="18" x14ac:dyDescent="0.35">
      <c r="C58" s="30"/>
      <c r="H58">
        <v>7.5399999999999995E-2</v>
      </c>
    </row>
    <row r="59" spans="1:8" x14ac:dyDescent="0.3">
      <c r="A59" t="s">
        <v>213</v>
      </c>
    </row>
    <row r="60" spans="1:8" x14ac:dyDescent="0.3">
      <c r="H60" t="s">
        <v>249</v>
      </c>
    </row>
    <row r="62" spans="1:8" x14ac:dyDescent="0.3">
      <c r="H62">
        <v>0.113</v>
      </c>
    </row>
    <row r="64" spans="1:8" ht="31.2" x14ac:dyDescent="0.3">
      <c r="H64" s="24" t="s">
        <v>250</v>
      </c>
    </row>
    <row r="66" spans="8:8" x14ac:dyDescent="0.3">
      <c r="H66" t="s">
        <v>251</v>
      </c>
    </row>
    <row r="68" spans="8:8" ht="18" x14ac:dyDescent="0.3">
      <c r="H68" s="6" t="s">
        <v>252</v>
      </c>
    </row>
    <row r="70" spans="8:8" x14ac:dyDescent="0.3">
      <c r="H70" t="s">
        <v>253</v>
      </c>
    </row>
    <row r="72" spans="8:8" x14ac:dyDescent="0.3">
      <c r="H72" t="s">
        <v>265</v>
      </c>
    </row>
    <row r="74" spans="8:8" x14ac:dyDescent="0.3">
      <c r="H74" t="s">
        <v>254</v>
      </c>
    </row>
    <row r="76" spans="8:8" x14ac:dyDescent="0.3">
      <c r="H76" t="s">
        <v>266</v>
      </c>
    </row>
    <row r="78" spans="8:8" x14ac:dyDescent="0.3">
      <c r="H78" t="s">
        <v>255</v>
      </c>
    </row>
    <row r="80" spans="8:8" x14ac:dyDescent="0.3">
      <c r="H80" t="s">
        <v>256</v>
      </c>
    </row>
    <row r="82" spans="8:8" x14ac:dyDescent="0.3">
      <c r="H82" t="s">
        <v>257</v>
      </c>
    </row>
    <row r="86" spans="8:8" ht="18" x14ac:dyDescent="0.3">
      <c r="H86" s="6" t="s">
        <v>258</v>
      </c>
    </row>
    <row r="88" spans="8:8" x14ac:dyDescent="0.3">
      <c r="H88" t="s">
        <v>253</v>
      </c>
    </row>
    <row r="90" spans="8:8" x14ac:dyDescent="0.3">
      <c r="H90" t="s">
        <v>267</v>
      </c>
    </row>
    <row r="92" spans="8:8" x14ac:dyDescent="0.3">
      <c r="H92" t="s">
        <v>259</v>
      </c>
    </row>
    <row r="94" spans="8:8" x14ac:dyDescent="0.3">
      <c r="H94" t="s">
        <v>256</v>
      </c>
    </row>
    <row r="96" spans="8:8" x14ac:dyDescent="0.3">
      <c r="H96" s="10">
        <v>0.46870000000000001</v>
      </c>
    </row>
    <row r="99" spans="8:10" ht="18" x14ac:dyDescent="0.3">
      <c r="H99" s="6" t="s">
        <v>260</v>
      </c>
    </row>
    <row r="101" spans="8:10" x14ac:dyDescent="0.3">
      <c r="H101" t="s">
        <v>261</v>
      </c>
    </row>
    <row r="103" spans="8:10" ht="28.8" x14ac:dyDescent="0.3">
      <c r="H103" s="26" t="s">
        <v>262</v>
      </c>
      <c r="I103" s="26" t="s">
        <v>168</v>
      </c>
      <c r="J103" s="26" t="s">
        <v>263</v>
      </c>
    </row>
    <row r="104" spans="8:10" x14ac:dyDescent="0.3">
      <c r="H104" s="27" t="s">
        <v>242</v>
      </c>
      <c r="I104" s="29">
        <v>1.85E-19</v>
      </c>
      <c r="J104" s="27" t="s">
        <v>22</v>
      </c>
    </row>
    <row r="105" spans="8:10" x14ac:dyDescent="0.3">
      <c r="H105" s="27" t="s">
        <v>230</v>
      </c>
      <c r="I105" s="27">
        <v>5.1499999999999997E-2</v>
      </c>
      <c r="J105" s="27" t="s">
        <v>264</v>
      </c>
    </row>
    <row r="106" spans="8:10" x14ac:dyDescent="0.3">
      <c r="H106" s="27" t="s">
        <v>50</v>
      </c>
      <c r="I106" s="27">
        <v>0.79300000000000004</v>
      </c>
      <c r="J106" s="27" t="s">
        <v>8</v>
      </c>
    </row>
    <row r="107" spans="8:10" x14ac:dyDescent="0.3">
      <c r="H107" s="27" t="s">
        <v>49</v>
      </c>
      <c r="I107" s="27">
        <v>0.63400000000000001</v>
      </c>
      <c r="J107" s="27" t="s">
        <v>8</v>
      </c>
    </row>
    <row r="108" spans="8:10" x14ac:dyDescent="0.3">
      <c r="H108" s="27" t="s">
        <v>66</v>
      </c>
      <c r="I108" s="27">
        <v>0.52</v>
      </c>
      <c r="J108" s="27" t="s">
        <v>8</v>
      </c>
    </row>
    <row r="109" spans="8:10" x14ac:dyDescent="0.3">
      <c r="H109" s="27" t="s">
        <v>67</v>
      </c>
      <c r="I109" s="27">
        <v>0.80600000000000005</v>
      </c>
      <c r="J109" s="27" t="s">
        <v>8</v>
      </c>
    </row>
  </sheetData>
  <pageMargins left="0.7" right="0.7" top="0.75" bottom="0.75" header="0.3" footer="0.3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9C9279-BF3F-4667-A670-FC7BA60E8223}">
  <dimension ref="A1:O6"/>
  <sheetViews>
    <sheetView workbookViewId="0">
      <selection activeCell="K18" sqref="K18"/>
    </sheetView>
  </sheetViews>
  <sheetFormatPr defaultRowHeight="14.4" x14ac:dyDescent="0.3"/>
  <cols>
    <col min="1" max="1" width="12.5546875" bestFit="1" customWidth="1"/>
    <col min="2" max="2" width="14.88671875" bestFit="1" customWidth="1"/>
    <col min="4" max="4" width="12.5546875" bestFit="1" customWidth="1"/>
    <col min="5" max="6" width="9.6640625" bestFit="1" customWidth="1"/>
    <col min="7" max="7" width="12.5546875" bestFit="1" customWidth="1"/>
    <col min="8" max="8" width="9.6640625" bestFit="1" customWidth="1"/>
    <col min="11" max="11" width="12.5546875" bestFit="1" customWidth="1"/>
    <col min="12" max="13" width="14.88671875" bestFit="1" customWidth="1"/>
  </cols>
  <sheetData>
    <row r="1" spans="1:15" x14ac:dyDescent="0.3">
      <c r="A1" s="4" t="s">
        <v>31</v>
      </c>
      <c r="B1" t="s">
        <v>41</v>
      </c>
      <c r="D1" s="4" t="s">
        <v>31</v>
      </c>
      <c r="E1" t="s">
        <v>42</v>
      </c>
      <c r="K1" s="4" t="s">
        <v>31</v>
      </c>
      <c r="L1" t="s">
        <v>41</v>
      </c>
      <c r="N1" s="4" t="s">
        <v>31</v>
      </c>
      <c r="O1" t="s">
        <v>41</v>
      </c>
    </row>
    <row r="2" spans="1:15" x14ac:dyDescent="0.3">
      <c r="A2" s="5" t="s">
        <v>9</v>
      </c>
      <c r="B2">
        <v>1627.1600000000003</v>
      </c>
      <c r="D2" s="5" t="s">
        <v>7</v>
      </c>
      <c r="E2">
        <v>244.51</v>
      </c>
      <c r="G2" s="4" t="s">
        <v>31</v>
      </c>
      <c r="H2" t="s">
        <v>42</v>
      </c>
      <c r="K2" s="5" t="s">
        <v>10</v>
      </c>
      <c r="L2">
        <v>3660.3000000000015</v>
      </c>
      <c r="N2" s="5" t="s">
        <v>10</v>
      </c>
      <c r="O2">
        <v>3660.3000000000015</v>
      </c>
    </row>
    <row r="3" spans="1:15" x14ac:dyDescent="0.3">
      <c r="A3" s="5" t="s">
        <v>25</v>
      </c>
      <c r="B3">
        <v>325.87999999999994</v>
      </c>
      <c r="D3" s="5" t="s">
        <v>11</v>
      </c>
      <c r="E3">
        <v>485.07000000000011</v>
      </c>
      <c r="G3" s="5" t="s">
        <v>8</v>
      </c>
      <c r="H3">
        <v>451.7700000000001</v>
      </c>
      <c r="K3" s="5" t="s">
        <v>24</v>
      </c>
      <c r="L3">
        <v>1154.4699999999998</v>
      </c>
      <c r="N3" s="5" t="s">
        <v>24</v>
      </c>
      <c r="O3">
        <v>1154.4699999999998</v>
      </c>
    </row>
    <row r="4" spans="1:15" x14ac:dyDescent="0.3">
      <c r="A4" s="5" t="s">
        <v>21</v>
      </c>
      <c r="B4">
        <v>1778.3999999999996</v>
      </c>
      <c r="D4" s="5" t="s">
        <v>32</v>
      </c>
      <c r="E4">
        <v>729.58000000000015</v>
      </c>
      <c r="G4" s="5" t="s">
        <v>22</v>
      </c>
      <c r="H4">
        <v>277.81</v>
      </c>
      <c r="K4" s="5" t="s">
        <v>32</v>
      </c>
      <c r="L4">
        <v>4814.7700000000013</v>
      </c>
      <c r="N4" s="5" t="s">
        <v>32</v>
      </c>
      <c r="O4">
        <v>4814.7700000000013</v>
      </c>
    </row>
    <row r="5" spans="1:15" x14ac:dyDescent="0.3">
      <c r="A5" s="5" t="s">
        <v>23</v>
      </c>
      <c r="B5">
        <v>1083.3299999999997</v>
      </c>
      <c r="G5" s="5" t="s">
        <v>32</v>
      </c>
      <c r="H5">
        <v>729.58000000000015</v>
      </c>
    </row>
    <row r="6" spans="1:15" x14ac:dyDescent="0.3">
      <c r="A6" s="5" t="s">
        <v>32</v>
      </c>
      <c r="B6">
        <v>4814.7699999999995</v>
      </c>
    </row>
  </sheetData>
  <pageMargins left="0.7" right="0.7" top="0.75" bottom="0.75" header="0.3" footer="0.3"/>
  <drawing r:id="rId6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3FFF0D-AEB7-4D13-81BB-1F6CCBC3DC0B}">
  <dimension ref="A1:P54"/>
  <sheetViews>
    <sheetView showGridLines="0" zoomScale="66" zoomScaleNormal="66" workbookViewId="0">
      <selection activeCell="R14" sqref="R14"/>
    </sheetView>
  </sheetViews>
  <sheetFormatPr defaultRowHeight="14.4" x14ac:dyDescent="0.3"/>
  <cols>
    <col min="1" max="1" width="9.6640625" bestFit="1" customWidth="1"/>
    <col min="2" max="2" width="12.109375" bestFit="1" customWidth="1"/>
    <col min="3" max="3" width="30.44140625" bestFit="1" customWidth="1"/>
    <col min="4" max="4" width="19.44140625" bestFit="1" customWidth="1"/>
    <col min="5" max="5" width="19.33203125" customWidth="1"/>
    <col min="6" max="6" width="18.44140625" bestFit="1" customWidth="1"/>
    <col min="7" max="7" width="15.6640625" customWidth="1"/>
    <col min="8" max="8" width="14" customWidth="1"/>
    <col min="9" max="9" width="14.33203125" customWidth="1"/>
    <col min="10" max="10" width="15.21875" customWidth="1"/>
    <col min="11" max="11" width="15.6640625" customWidth="1"/>
    <col min="12" max="12" width="16.5546875" customWidth="1"/>
    <col min="13" max="13" width="12.77734375" customWidth="1"/>
    <col min="14" max="14" width="17.5546875" customWidth="1"/>
    <col min="15" max="15" width="14.33203125" customWidth="1"/>
    <col min="16" max="16" width="25.44140625" bestFit="1" customWidth="1"/>
  </cols>
  <sheetData>
    <row r="1" spans="1:16" ht="36.6" x14ac:dyDescent="0.7">
      <c r="A1" s="108" t="s">
        <v>382</v>
      </c>
      <c r="B1" s="109"/>
      <c r="C1" s="109"/>
      <c r="D1" s="109"/>
      <c r="E1" s="109"/>
      <c r="F1" s="109"/>
      <c r="G1" s="109"/>
      <c r="H1" s="109"/>
      <c r="I1" s="109"/>
      <c r="J1" s="109"/>
      <c r="K1" s="109"/>
      <c r="L1" s="37"/>
      <c r="M1" s="37"/>
      <c r="N1" s="37"/>
      <c r="O1" s="37"/>
      <c r="P1" s="37"/>
    </row>
    <row r="2" spans="1:16" x14ac:dyDescent="0.3">
      <c r="A2" s="37"/>
      <c r="B2" s="37"/>
      <c r="C2" s="37"/>
      <c r="D2" s="37"/>
      <c r="E2" s="37"/>
      <c r="F2" s="37"/>
      <c r="G2" s="37"/>
      <c r="H2" s="37"/>
      <c r="I2" s="37"/>
      <c r="J2" s="37"/>
      <c r="K2" s="37"/>
      <c r="L2" s="37"/>
      <c r="M2" s="37"/>
      <c r="N2" s="37"/>
      <c r="O2" s="37"/>
      <c r="P2" s="37"/>
    </row>
    <row r="3" spans="1:16" ht="28.8" x14ac:dyDescent="0.55000000000000004">
      <c r="A3" s="110" t="s">
        <v>381</v>
      </c>
      <c r="B3" s="110"/>
      <c r="C3" s="51"/>
      <c r="D3" s="51"/>
      <c r="E3" s="51"/>
      <c r="F3" s="51"/>
      <c r="G3" s="51"/>
      <c r="H3" s="51"/>
      <c r="I3" s="51"/>
      <c r="J3" s="51"/>
      <c r="K3" s="37"/>
      <c r="L3" s="37"/>
      <c r="M3" s="37"/>
      <c r="N3" s="37"/>
      <c r="O3" s="37"/>
      <c r="P3" s="37"/>
    </row>
    <row r="4" spans="1:16" ht="47.4" thickBot="1" x14ac:dyDescent="0.5">
      <c r="A4" s="51"/>
      <c r="B4" s="51"/>
      <c r="C4" s="46" t="s">
        <v>41</v>
      </c>
      <c r="D4" s="51"/>
      <c r="E4" s="45" t="s">
        <v>42</v>
      </c>
      <c r="F4" s="51"/>
      <c r="G4" s="46" t="s">
        <v>68</v>
      </c>
      <c r="H4" s="52"/>
      <c r="I4" s="51"/>
      <c r="J4" s="95" t="s">
        <v>456</v>
      </c>
      <c r="K4" s="37"/>
      <c r="L4" s="37"/>
      <c r="M4" s="37"/>
      <c r="N4" s="37"/>
      <c r="O4" s="37"/>
      <c r="P4" s="37"/>
    </row>
    <row r="5" spans="1:16" ht="47.4" thickBot="1" x14ac:dyDescent="0.5">
      <c r="A5" s="51"/>
      <c r="B5" s="48" t="s">
        <v>383</v>
      </c>
      <c r="C5" s="50">
        <v>4814.7700000000013</v>
      </c>
      <c r="D5" s="49" t="s">
        <v>384</v>
      </c>
      <c r="E5" s="50">
        <v>729.58</v>
      </c>
      <c r="F5" s="94" t="s">
        <v>385</v>
      </c>
      <c r="G5" s="53">
        <v>19.813868312757208</v>
      </c>
      <c r="H5" s="46"/>
      <c r="I5" s="93" t="s">
        <v>386</v>
      </c>
      <c r="J5" s="54">
        <f>E5/C5</f>
        <v>0.15152956423671324</v>
      </c>
      <c r="K5" s="37"/>
      <c r="L5" s="37"/>
      <c r="M5" s="37"/>
      <c r="N5" s="37"/>
      <c r="O5" s="37"/>
      <c r="P5" s="37"/>
    </row>
    <row r="6" spans="1:16" ht="23.4" x14ac:dyDescent="0.45">
      <c r="A6" s="105" t="s">
        <v>452</v>
      </c>
      <c r="B6" s="106"/>
      <c r="C6" s="106"/>
      <c r="D6" s="106"/>
      <c r="E6" s="107"/>
      <c r="F6" s="105" t="s">
        <v>452</v>
      </c>
      <c r="G6" s="106"/>
      <c r="H6" s="106"/>
      <c r="I6" s="106"/>
      <c r="J6" s="107"/>
      <c r="K6" s="37"/>
      <c r="L6" s="37"/>
      <c r="M6" s="37"/>
      <c r="N6" s="37"/>
      <c r="O6" s="37"/>
      <c r="P6" s="37"/>
    </row>
    <row r="7" spans="1:16" ht="23.4" x14ac:dyDescent="0.45">
      <c r="A7" s="55" t="s">
        <v>49</v>
      </c>
      <c r="B7" s="46" t="s">
        <v>41</v>
      </c>
      <c r="C7" s="47"/>
      <c r="D7" s="46"/>
      <c r="E7" s="56"/>
      <c r="F7" s="57" t="s">
        <v>49</v>
      </c>
      <c r="G7" s="46" t="s">
        <v>41</v>
      </c>
      <c r="H7" s="47"/>
      <c r="I7" s="46"/>
      <c r="J7" s="56"/>
      <c r="K7" s="37"/>
      <c r="L7" s="37"/>
      <c r="M7" s="37"/>
      <c r="N7" s="37"/>
      <c r="O7" s="37"/>
      <c r="P7" s="37"/>
    </row>
    <row r="8" spans="1:16" ht="24" thickBot="1" x14ac:dyDescent="0.5">
      <c r="A8" s="58" t="s">
        <v>22</v>
      </c>
      <c r="B8" s="59">
        <v>1917.34</v>
      </c>
      <c r="C8" s="59"/>
      <c r="D8" s="59"/>
      <c r="E8" s="60"/>
      <c r="F8" s="58" t="s">
        <v>8</v>
      </c>
      <c r="G8" s="59">
        <v>2897.4300000000007</v>
      </c>
      <c r="H8" s="59"/>
      <c r="I8" s="59"/>
      <c r="J8" s="60"/>
      <c r="K8" s="37"/>
      <c r="L8" s="37"/>
      <c r="M8" s="37"/>
      <c r="N8" s="37"/>
      <c r="O8" s="37"/>
      <c r="P8" s="37"/>
    </row>
    <row r="9" spans="1:16" ht="36.6" customHeight="1" x14ac:dyDescent="0.45">
      <c r="A9" s="105" t="s">
        <v>454</v>
      </c>
      <c r="B9" s="106"/>
      <c r="C9" s="106"/>
      <c r="D9" s="106"/>
      <c r="E9" s="107"/>
      <c r="F9" s="106" t="s">
        <v>453</v>
      </c>
      <c r="G9" s="106"/>
      <c r="H9" s="106"/>
      <c r="I9" s="106"/>
      <c r="J9" s="106"/>
      <c r="K9" s="37"/>
      <c r="L9" s="37"/>
      <c r="M9" s="37"/>
      <c r="N9" s="37"/>
      <c r="O9" s="37"/>
      <c r="P9" s="37"/>
    </row>
    <row r="10" spans="1:16" ht="23.4" x14ac:dyDescent="0.45">
      <c r="A10" s="45" t="s">
        <v>49</v>
      </c>
      <c r="B10" s="46" t="s">
        <v>68</v>
      </c>
      <c r="C10" s="47"/>
      <c r="D10" s="46"/>
      <c r="E10" s="56"/>
      <c r="F10" s="45" t="s">
        <v>49</v>
      </c>
      <c r="G10" s="46" t="s">
        <v>68</v>
      </c>
      <c r="H10" s="46"/>
      <c r="I10" s="46"/>
      <c r="J10" s="46"/>
      <c r="K10" s="37"/>
      <c r="L10" s="37"/>
      <c r="M10" s="37"/>
      <c r="N10" s="37"/>
      <c r="O10" s="37"/>
      <c r="P10" s="37"/>
    </row>
    <row r="11" spans="1:16" ht="24" thickBot="1" x14ac:dyDescent="0.5">
      <c r="A11" s="47" t="s">
        <v>22</v>
      </c>
      <c r="B11" s="61">
        <v>20.840652173913043</v>
      </c>
      <c r="C11" s="59"/>
      <c r="D11" s="59"/>
      <c r="E11" s="60"/>
      <c r="F11" s="47" t="s">
        <v>8</v>
      </c>
      <c r="G11" s="62">
        <v>19.188278145695371</v>
      </c>
      <c r="H11" s="46"/>
      <c r="I11" s="46"/>
      <c r="J11" s="46"/>
      <c r="K11" s="37"/>
      <c r="L11" s="37"/>
      <c r="M11" s="37"/>
      <c r="N11" s="37"/>
      <c r="O11" s="37"/>
      <c r="P11" s="37"/>
    </row>
    <row r="12" spans="1:16" ht="23.4" x14ac:dyDescent="0.45">
      <c r="A12" s="105" t="s">
        <v>450</v>
      </c>
      <c r="B12" s="106"/>
      <c r="C12" s="106"/>
      <c r="D12" s="106"/>
      <c r="E12" s="107"/>
      <c r="F12" s="105" t="s">
        <v>455</v>
      </c>
      <c r="G12" s="106"/>
      <c r="H12" s="106"/>
      <c r="I12" s="106"/>
      <c r="J12" s="107"/>
      <c r="K12" s="37"/>
      <c r="L12" s="37"/>
      <c r="M12" s="37"/>
      <c r="N12" s="37"/>
      <c r="O12" s="37"/>
      <c r="P12" s="37"/>
    </row>
    <row r="13" spans="1:16" ht="23.4" x14ac:dyDescent="0.45">
      <c r="A13" s="55" t="s">
        <v>49</v>
      </c>
      <c r="B13" s="46" t="s">
        <v>451</v>
      </c>
      <c r="C13" s="47"/>
      <c r="D13" s="46"/>
      <c r="E13" s="56"/>
      <c r="F13" s="55" t="s">
        <v>49</v>
      </c>
      <c r="G13" s="46" t="s">
        <v>451</v>
      </c>
      <c r="H13" s="47"/>
      <c r="I13" s="46"/>
      <c r="J13" s="56"/>
      <c r="K13" s="37"/>
      <c r="L13" s="37"/>
      <c r="M13" s="37"/>
      <c r="N13" s="37"/>
      <c r="O13" s="37"/>
      <c r="P13" s="37"/>
    </row>
    <row r="14" spans="1:16" ht="24" thickBot="1" x14ac:dyDescent="0.5">
      <c r="A14" s="58" t="s">
        <v>22</v>
      </c>
      <c r="B14" s="63">
        <v>3.0196739130434782</v>
      </c>
      <c r="C14" s="59"/>
      <c r="D14" s="59"/>
      <c r="E14" s="60"/>
      <c r="F14" s="58" t="s">
        <v>8</v>
      </c>
      <c r="G14" s="63">
        <v>2.9918543046357615</v>
      </c>
      <c r="H14" s="59"/>
      <c r="I14" s="59"/>
      <c r="J14" s="60"/>
      <c r="K14" s="37"/>
      <c r="L14" s="37"/>
      <c r="M14" s="37"/>
      <c r="N14" s="37"/>
      <c r="O14" s="37"/>
      <c r="P14" s="37"/>
    </row>
    <row r="15" spans="1:16" x14ac:dyDescent="0.3">
      <c r="A15" s="37"/>
      <c r="B15" s="37"/>
      <c r="C15" s="37"/>
      <c r="D15" s="37"/>
      <c r="E15" s="37"/>
      <c r="F15" s="37"/>
      <c r="G15" s="37"/>
      <c r="H15" s="37"/>
      <c r="I15" s="37"/>
      <c r="J15" s="37"/>
      <c r="K15" s="37"/>
      <c r="L15" s="37"/>
      <c r="M15" s="37"/>
      <c r="N15" s="37"/>
      <c r="O15" s="37"/>
      <c r="P15" s="37"/>
    </row>
    <row r="16" spans="1:16" ht="4.8" customHeight="1" x14ac:dyDescent="0.3">
      <c r="A16" s="37"/>
      <c r="B16" s="37"/>
      <c r="C16" s="37"/>
      <c r="D16" s="37"/>
      <c r="E16" s="37"/>
      <c r="F16" s="37"/>
      <c r="G16" s="37"/>
      <c r="H16" s="37"/>
      <c r="I16" s="37"/>
      <c r="J16" s="37"/>
      <c r="K16" s="37"/>
      <c r="L16" s="37"/>
      <c r="M16" s="37"/>
      <c r="N16" s="37"/>
      <c r="O16" s="37"/>
      <c r="P16" s="37"/>
    </row>
    <row r="17" spans="1:16" hidden="1" x14ac:dyDescent="0.3">
      <c r="A17" s="37"/>
      <c r="B17" s="37"/>
      <c r="C17" s="37"/>
      <c r="D17" s="37"/>
      <c r="E17" s="37"/>
      <c r="F17" s="37"/>
      <c r="G17" s="37"/>
      <c r="H17" s="37"/>
      <c r="I17" s="37"/>
      <c r="J17" s="37"/>
      <c r="K17" s="37"/>
      <c r="L17" s="37"/>
      <c r="M17" s="37"/>
      <c r="N17" s="37"/>
      <c r="O17" s="37"/>
      <c r="P17" s="37"/>
    </row>
    <row r="18" spans="1:16" hidden="1" x14ac:dyDescent="0.3">
      <c r="A18" s="37"/>
      <c r="B18" s="37"/>
      <c r="C18" s="37"/>
      <c r="D18" s="37"/>
      <c r="E18" s="37"/>
      <c r="F18" s="37"/>
      <c r="G18" s="37"/>
      <c r="H18" s="37"/>
      <c r="I18" s="37"/>
      <c r="J18" s="37"/>
      <c r="K18" s="37"/>
      <c r="L18" s="37"/>
      <c r="M18" s="37"/>
      <c r="N18" s="37"/>
      <c r="O18" s="37"/>
      <c r="P18" s="37"/>
    </row>
    <row r="19" spans="1:16" ht="15" thickBot="1" x14ac:dyDescent="0.35">
      <c r="A19" s="37"/>
      <c r="B19" s="37"/>
      <c r="C19" s="37"/>
      <c r="D19" s="37"/>
      <c r="E19" s="37"/>
      <c r="F19" s="37"/>
      <c r="G19" s="37"/>
      <c r="H19" s="37"/>
      <c r="I19" s="37"/>
      <c r="J19" s="37"/>
      <c r="K19" s="37"/>
      <c r="L19" s="37"/>
      <c r="M19" s="37"/>
      <c r="N19" s="37"/>
      <c r="O19" s="37"/>
      <c r="P19" s="37"/>
    </row>
    <row r="20" spans="1:16" ht="26.4" thickBot="1" x14ac:dyDescent="0.55000000000000004">
      <c r="A20" s="70" t="s">
        <v>387</v>
      </c>
      <c r="B20" s="71"/>
      <c r="C20" s="38"/>
      <c r="D20" s="37"/>
      <c r="E20" s="39"/>
      <c r="F20" s="40" t="s">
        <v>404</v>
      </c>
      <c r="G20" s="40"/>
      <c r="H20" s="40"/>
      <c r="I20" s="38"/>
      <c r="J20" s="38"/>
      <c r="K20" s="37"/>
      <c r="L20" s="37"/>
      <c r="M20" s="37"/>
      <c r="N20" s="37"/>
      <c r="O20" s="37"/>
      <c r="P20" s="37"/>
    </row>
    <row r="21" spans="1:16" ht="63.6" thickBot="1" x14ac:dyDescent="0.45">
      <c r="A21" s="99" t="s">
        <v>66</v>
      </c>
      <c r="B21" s="99" t="s">
        <v>388</v>
      </c>
      <c r="C21" s="70" t="s">
        <v>389</v>
      </c>
      <c r="D21" s="76" t="s">
        <v>398</v>
      </c>
      <c r="E21" s="77" t="s">
        <v>390</v>
      </c>
      <c r="F21" s="77" t="s">
        <v>403</v>
      </c>
      <c r="G21" s="76" t="s">
        <v>391</v>
      </c>
      <c r="H21" s="78" t="s">
        <v>392</v>
      </c>
      <c r="I21" s="79" t="s">
        <v>393</v>
      </c>
      <c r="J21" s="80" t="s">
        <v>438</v>
      </c>
      <c r="K21" s="80" t="s">
        <v>442</v>
      </c>
      <c r="L21" s="81" t="s">
        <v>440</v>
      </c>
      <c r="M21" s="82" t="s">
        <v>443</v>
      </c>
      <c r="N21" s="37"/>
      <c r="O21" s="37"/>
      <c r="P21" s="37"/>
    </row>
    <row r="22" spans="1:16" ht="21" x14ac:dyDescent="0.4">
      <c r="A22" s="100" t="s">
        <v>25</v>
      </c>
      <c r="B22" s="96">
        <v>325.87999999999994</v>
      </c>
      <c r="C22" s="83" t="s">
        <v>395</v>
      </c>
      <c r="D22" s="64" t="s">
        <v>400</v>
      </c>
      <c r="E22" s="64">
        <f>COUNTIFS('tips dataset'!$F$1:$F$244,"&gt;15",'tips dataset'!$F$1:$F$244,"&lt;25")</f>
        <v>108</v>
      </c>
      <c r="F22" s="65">
        <f>DashBoard!$E22/SUM(DashBoard!$E$22:$E$25)</f>
        <v>0.4462809917355372</v>
      </c>
      <c r="G22" s="66">
        <f>AVERAGEIFS('tips dataset'!$F$1:$F$244,'tips dataset'!$F$1:$F$244,"&gt;15",'tips dataset'!F1:F244,"&lt;25")</f>
        <v>19.070092592592591</v>
      </c>
      <c r="H22" s="67">
        <f>AVERAGEIFS('tips dataset'!$G$1:$G$244,'tips dataset'!$F$1:$F$244,"&gt;15",'tips dataset'!G1:G244,"&lt;25")</f>
        <v>3.4607317073170742</v>
      </c>
      <c r="I22" s="68">
        <f>H22/G22</f>
        <v>0.18147430016471597</v>
      </c>
      <c r="J22" s="69">
        <f>SUMIFS('tips dataset'!$F$1:$F$244,'tips dataset'!$F$1:$F$244,"&gt;15",'tips dataset'!$F$1:$F$244,"&lt;25")</f>
        <v>2059.5699999999997</v>
      </c>
      <c r="K22" s="68">
        <f>$J22/SUM($J$22:$J$25)</f>
        <v>0.43265823157089833</v>
      </c>
      <c r="L22" s="69">
        <f>SUMIFS('tips dataset'!$G$1:$G$244,'tips dataset'!$F$1:$F$244,"&gt;15",'tips dataset'!$F$1:$F$244,"&lt;25")</f>
        <v>326.04000000000008</v>
      </c>
      <c r="M22" s="84">
        <f>$L22/SUM($L$22:$L$25)</f>
        <v>0.44919609274899092</v>
      </c>
      <c r="N22" s="37"/>
      <c r="O22" s="37"/>
      <c r="P22" s="37"/>
    </row>
    <row r="23" spans="1:16" ht="21" x14ac:dyDescent="0.4">
      <c r="A23" s="101" t="s">
        <v>23</v>
      </c>
      <c r="B23" s="97">
        <v>1083.3299999999997</v>
      </c>
      <c r="C23" s="83" t="s">
        <v>394</v>
      </c>
      <c r="D23" s="64" t="s">
        <v>399</v>
      </c>
      <c r="E23" s="64">
        <f>COUNTIF('tips dataset'!$F$1:$F$244,"&lt;15")</f>
        <v>79</v>
      </c>
      <c r="F23" s="65">
        <f>DashBoard!$E23/SUM(DashBoard!$E$22:$E$25)</f>
        <v>0.32644628099173556</v>
      </c>
      <c r="G23" s="66">
        <f>AVERAGEIF('tips dataset'!$F$1:$F$244,"&lt;15",'tips dataset'!$F$1:$F$244)</f>
        <v>11.461139240506325</v>
      </c>
      <c r="H23" s="67">
        <f>AVERAGEIF('tips dataset'!$F$1:$F$244,"&lt;15",'tips dataset'!$G$1:$G$244)</f>
        <v>2.050886075949367</v>
      </c>
      <c r="I23" s="68">
        <f>H23/G23</f>
        <v>0.17894260185768093</v>
      </c>
      <c r="J23" s="69">
        <f>SUMIF('tips dataset'!F1:F244,"&lt;15",'tips dataset'!$F$1:$F$244)</f>
        <v>905.42999999999972</v>
      </c>
      <c r="K23" s="68">
        <f>$J23/SUM($J$22:$J$25)</f>
        <v>0.19020559758164979</v>
      </c>
      <c r="L23" s="69">
        <f>SUMIF('tips dataset'!$F$1:$F$244,"&lt;15",'tips dataset'!$G$1:$G$244)</f>
        <v>162.01999999999998</v>
      </c>
      <c r="M23" s="84">
        <f>$L23/SUM($L$22:$L$25)</f>
        <v>0.22322031329650191</v>
      </c>
      <c r="N23" s="37"/>
      <c r="O23" s="37"/>
      <c r="P23" s="37"/>
    </row>
    <row r="24" spans="1:16" ht="21" x14ac:dyDescent="0.4">
      <c r="A24" s="101" t="s">
        <v>9</v>
      </c>
      <c r="B24" s="97">
        <v>1627.1600000000003</v>
      </c>
      <c r="C24" s="83" t="s">
        <v>396</v>
      </c>
      <c r="D24" s="64" t="s">
        <v>401</v>
      </c>
      <c r="E24" s="64">
        <f>COUNTIFS('tips dataset'!$F$1:$F$244,"&gt;25",'tips dataset'!$F$1:$F$244,"&lt;35")</f>
        <v>39</v>
      </c>
      <c r="F24" s="65">
        <f>DashBoard!$E24/SUM(DashBoard!$E$22:$E$25)</f>
        <v>0.16115702479338842</v>
      </c>
      <c r="G24" s="66">
        <f>AVERAGEIFS('tips dataset'!$F$1:$F$244,'tips dataset'!$F$1:$F$244,"&gt;25",'tips dataset'!F2:F245,"&lt;35")</f>
        <v>29.325526315789471</v>
      </c>
      <c r="H24" s="67">
        <f>AVERAGEIFS('tips dataset'!$G$1:$G$244,'tips dataset'!$F$1:$F$244,"&gt;25",'tips dataset'!G2:G245,"&lt;35")</f>
        <v>4.2179629629629618</v>
      </c>
      <c r="I24" s="68">
        <f>H24/G24</f>
        <v>0.1438324726909308</v>
      </c>
      <c r="J24" s="69">
        <f>SUMIFS('tips dataset'!$F$1:$F$244,'tips dataset'!$F$1:$F$244,"&gt;25",'tips dataset'!$F$1:$F$244,"&lt;35")</f>
        <v>1149.1999999999998</v>
      </c>
      <c r="K24" s="68">
        <f>$J24/SUM($J$22:$J$25)</f>
        <v>0.2414148777275239</v>
      </c>
      <c r="L24" s="69">
        <f>SUMIFS('tips dataset'!$G$1:$G$244,'tips dataset'!$F$1:$F$244,"&gt;25",'tips dataset'!$F$1:$F$244,"&lt;35")</f>
        <v>156.05999999999997</v>
      </c>
      <c r="M24" s="84">
        <f>$L24/SUM($L$22:$L$25)</f>
        <v>0.21500902415166082</v>
      </c>
      <c r="N24" s="37"/>
      <c r="O24" s="37"/>
      <c r="P24" s="37"/>
    </row>
    <row r="25" spans="1:16" ht="21.6" thickBot="1" x14ac:dyDescent="0.45">
      <c r="A25" s="102" t="s">
        <v>21</v>
      </c>
      <c r="B25" s="98">
        <v>1778.3999999999996</v>
      </c>
      <c r="C25" s="85" t="s">
        <v>397</v>
      </c>
      <c r="D25" s="86" t="s">
        <v>402</v>
      </c>
      <c r="E25" s="86">
        <f>COUNTIF('tips dataset'!$F$1:$F$244,"&gt;35")</f>
        <v>16</v>
      </c>
      <c r="F25" s="87">
        <f>DashBoard!$E25/SUM(DashBoard!$E$22:$E$25)</f>
        <v>6.6115702479338845E-2</v>
      </c>
      <c r="G25" s="88">
        <f>AVERAGEIF('tips dataset'!$F$1:$F$244,"&gt;35",'tips dataset'!$F$1:$F$244)</f>
        <v>42.22312500000001</v>
      </c>
      <c r="H25" s="89">
        <f>AVERAGEIF('tips dataset'!$F$1:$F$244,"&gt;35",'tips dataset'!$G$1:$G$244)</f>
        <v>5.1068750000000005</v>
      </c>
      <c r="I25" s="90">
        <f>H25/G25</f>
        <v>0.12094971653566616</v>
      </c>
      <c r="J25" s="91">
        <f>SUMIF('tips dataset'!F3:F246,"&gt;35",'tips dataset'!$F$1:$F$244)</f>
        <v>646.06999999999994</v>
      </c>
      <c r="K25" s="90">
        <f>$J25/SUM($J$22:$J$25)</f>
        <v>0.13572129311992809</v>
      </c>
      <c r="L25" s="91">
        <f>SUMIF('tips dataset'!$F$1:$F$244,"&gt;35",'tips dataset'!$G$1:$G$244)</f>
        <v>81.710000000000008</v>
      </c>
      <c r="M25" s="92">
        <f>$L25/SUM($L$22:$L$25)</f>
        <v>0.1125745698028464</v>
      </c>
      <c r="N25" s="37"/>
      <c r="O25" s="37"/>
      <c r="P25" s="37"/>
    </row>
    <row r="26" spans="1:16" x14ac:dyDescent="0.3">
      <c r="A26" s="37"/>
      <c r="B26" s="37"/>
      <c r="C26" s="37"/>
      <c r="D26" s="37"/>
      <c r="E26" s="37"/>
      <c r="F26" s="72"/>
      <c r="G26" s="73"/>
      <c r="H26" s="73"/>
      <c r="I26" s="73"/>
      <c r="J26" s="73"/>
      <c r="K26" s="74"/>
      <c r="L26" s="75"/>
      <c r="M26" s="37"/>
      <c r="N26" s="37"/>
      <c r="O26" s="37"/>
      <c r="P26" s="37"/>
    </row>
    <row r="27" spans="1:16" x14ac:dyDescent="0.3">
      <c r="A27" s="37"/>
      <c r="B27" s="37"/>
      <c r="C27" s="37"/>
      <c r="D27" s="37"/>
      <c r="E27" s="37"/>
      <c r="F27" s="37"/>
      <c r="G27" s="37"/>
      <c r="H27" s="37"/>
      <c r="I27" s="37"/>
      <c r="J27" s="37"/>
      <c r="K27" s="37"/>
      <c r="L27" s="37"/>
      <c r="M27" s="37"/>
      <c r="N27" s="37"/>
      <c r="O27" s="37"/>
      <c r="P27" s="37"/>
    </row>
    <row r="28" spans="1:16" x14ac:dyDescent="0.3">
      <c r="A28" s="37"/>
      <c r="B28" s="37"/>
      <c r="C28" s="37"/>
      <c r="D28" s="37"/>
      <c r="E28" s="37"/>
      <c r="F28" s="37"/>
      <c r="G28" s="37"/>
      <c r="H28" s="37"/>
      <c r="I28" s="37"/>
      <c r="J28" s="37"/>
      <c r="K28" s="37"/>
      <c r="L28" s="37"/>
      <c r="M28" s="37"/>
      <c r="N28" s="37"/>
      <c r="O28" s="37"/>
      <c r="P28" s="37"/>
    </row>
    <row r="29" spans="1:16" x14ac:dyDescent="0.3">
      <c r="A29" s="37"/>
      <c r="B29" s="37"/>
      <c r="C29" s="37"/>
      <c r="D29" s="37"/>
      <c r="E29" s="37"/>
      <c r="F29" s="37"/>
      <c r="G29" s="37"/>
      <c r="H29" s="37"/>
      <c r="I29" s="37"/>
      <c r="J29" s="37"/>
      <c r="K29" s="37"/>
      <c r="L29" s="37"/>
      <c r="M29" s="37"/>
      <c r="N29" s="37"/>
      <c r="O29" s="37"/>
      <c r="P29" s="37"/>
    </row>
    <row r="30" spans="1:16" x14ac:dyDescent="0.3">
      <c r="A30" s="37"/>
      <c r="B30" s="37"/>
      <c r="C30" s="37"/>
      <c r="D30" s="37"/>
      <c r="E30" s="37"/>
      <c r="F30" s="37"/>
      <c r="G30" s="37"/>
      <c r="H30" s="37"/>
      <c r="I30" s="37"/>
      <c r="J30" s="37"/>
      <c r="K30" s="37"/>
      <c r="L30" s="37"/>
      <c r="M30" s="37"/>
      <c r="N30" s="37"/>
      <c r="O30" s="37"/>
      <c r="P30" s="37"/>
    </row>
    <row r="31" spans="1:16" x14ac:dyDescent="0.3">
      <c r="A31" s="37"/>
      <c r="B31" s="37"/>
      <c r="C31" s="37"/>
      <c r="D31" s="37"/>
      <c r="E31" s="37"/>
      <c r="F31" s="37"/>
      <c r="G31" s="37"/>
      <c r="H31" s="37"/>
      <c r="I31" s="37"/>
      <c r="J31" s="37"/>
      <c r="K31" s="37"/>
      <c r="L31" s="37"/>
      <c r="M31" s="37"/>
      <c r="N31" s="37"/>
      <c r="O31" s="37"/>
      <c r="P31" s="37"/>
    </row>
    <row r="32" spans="1:16" x14ac:dyDescent="0.3">
      <c r="A32" s="37"/>
      <c r="B32" s="37"/>
      <c r="C32" s="37"/>
      <c r="D32" s="37"/>
      <c r="E32" s="37"/>
      <c r="F32" s="37"/>
      <c r="G32" s="37"/>
      <c r="H32" s="37"/>
      <c r="I32" s="37"/>
      <c r="J32" s="37"/>
      <c r="K32" s="37"/>
      <c r="L32" s="37"/>
      <c r="M32" s="37"/>
      <c r="N32" s="37"/>
      <c r="O32" s="37"/>
      <c r="P32" s="37"/>
    </row>
    <row r="33" spans="1:16" x14ac:dyDescent="0.3">
      <c r="A33" s="37"/>
      <c r="B33" s="37"/>
      <c r="C33" s="37"/>
      <c r="D33" s="37"/>
      <c r="E33" s="37"/>
      <c r="F33" s="37"/>
      <c r="G33" s="37"/>
      <c r="H33" s="37"/>
      <c r="I33" s="37"/>
      <c r="J33" s="37"/>
      <c r="K33" s="37"/>
      <c r="L33" s="37"/>
      <c r="M33" s="37"/>
      <c r="N33" s="37"/>
      <c r="O33" s="37"/>
      <c r="P33" s="37"/>
    </row>
    <row r="34" spans="1:16" x14ac:dyDescent="0.3">
      <c r="A34" s="37"/>
      <c r="B34" s="37"/>
      <c r="C34" s="37"/>
      <c r="D34" s="37"/>
      <c r="E34" s="37"/>
      <c r="F34" s="37"/>
      <c r="G34" s="37"/>
      <c r="H34" s="37"/>
      <c r="I34" s="37"/>
      <c r="J34" s="37"/>
      <c r="K34" s="37"/>
      <c r="L34" s="37"/>
      <c r="M34" s="37"/>
      <c r="N34" s="37"/>
      <c r="O34" s="37"/>
      <c r="P34" s="37"/>
    </row>
    <row r="35" spans="1:16" x14ac:dyDescent="0.3">
      <c r="A35" s="37"/>
      <c r="B35" s="37"/>
      <c r="C35" s="37"/>
      <c r="D35" s="37"/>
      <c r="E35" s="37"/>
      <c r="F35" s="37"/>
      <c r="G35" s="37"/>
      <c r="H35" s="37"/>
      <c r="I35" s="37"/>
      <c r="J35" s="37"/>
      <c r="K35" s="37"/>
      <c r="L35" s="37"/>
      <c r="M35" s="37"/>
      <c r="N35" s="37"/>
      <c r="O35" s="37"/>
      <c r="P35" s="37"/>
    </row>
    <row r="36" spans="1:16" x14ac:dyDescent="0.3">
      <c r="A36" s="37"/>
      <c r="B36" s="37"/>
      <c r="C36" s="37"/>
      <c r="D36" s="37"/>
      <c r="E36" s="37"/>
      <c r="F36" s="37"/>
      <c r="G36" s="37"/>
      <c r="H36" s="37"/>
      <c r="I36" s="37"/>
      <c r="J36" s="37"/>
      <c r="K36" s="37"/>
      <c r="L36" s="37"/>
      <c r="M36" s="37"/>
      <c r="N36" s="37"/>
      <c r="O36" s="37"/>
      <c r="P36" s="37"/>
    </row>
    <row r="37" spans="1:16" x14ac:dyDescent="0.3">
      <c r="A37" s="37"/>
      <c r="B37" s="37"/>
      <c r="C37" s="37"/>
      <c r="D37" s="37"/>
      <c r="E37" s="37"/>
      <c r="F37" s="37"/>
      <c r="G37" s="37"/>
      <c r="H37" s="37"/>
      <c r="I37" s="37"/>
      <c r="J37" s="37"/>
      <c r="K37" s="37"/>
      <c r="L37" s="37"/>
      <c r="M37" s="37"/>
      <c r="N37" s="37"/>
      <c r="O37" s="37"/>
      <c r="P37" s="37"/>
    </row>
    <row r="38" spans="1:16" x14ac:dyDescent="0.3">
      <c r="A38" s="37"/>
      <c r="B38" s="37"/>
      <c r="C38" s="37"/>
      <c r="D38" s="37"/>
      <c r="E38" s="37"/>
      <c r="F38" s="37"/>
      <c r="G38" s="37"/>
      <c r="H38" s="37"/>
      <c r="I38" s="37"/>
      <c r="J38" s="37"/>
      <c r="K38" s="37"/>
      <c r="L38" s="37"/>
      <c r="M38" s="37"/>
      <c r="N38" s="37"/>
      <c r="O38" s="37"/>
      <c r="P38" s="37"/>
    </row>
    <row r="39" spans="1:16" x14ac:dyDescent="0.3">
      <c r="A39" s="37"/>
      <c r="B39" s="37"/>
      <c r="C39" s="37"/>
      <c r="D39" s="37"/>
      <c r="E39" s="37"/>
      <c r="F39" s="37"/>
      <c r="G39" s="37"/>
      <c r="H39" s="37"/>
      <c r="I39" s="37"/>
      <c r="J39" s="37"/>
      <c r="K39" s="37"/>
      <c r="L39" s="37"/>
      <c r="M39" s="37"/>
      <c r="N39" s="37"/>
      <c r="O39" s="37"/>
      <c r="P39" s="37"/>
    </row>
    <row r="40" spans="1:16" x14ac:dyDescent="0.3">
      <c r="A40" s="37"/>
      <c r="B40" s="37"/>
      <c r="C40" s="37"/>
      <c r="D40" s="37"/>
      <c r="E40" s="37"/>
      <c r="F40" s="37"/>
      <c r="G40" s="37"/>
      <c r="H40" s="37"/>
      <c r="I40" s="37"/>
      <c r="J40" s="37"/>
      <c r="K40" s="37"/>
      <c r="L40" s="37"/>
      <c r="M40" s="37"/>
      <c r="N40" s="37"/>
      <c r="O40" s="37"/>
      <c r="P40" s="37"/>
    </row>
    <row r="41" spans="1:16" x14ac:dyDescent="0.3">
      <c r="A41" s="37"/>
      <c r="B41" s="37"/>
      <c r="C41" s="37"/>
      <c r="D41" s="37"/>
      <c r="E41" s="37"/>
      <c r="F41" s="37"/>
      <c r="G41" s="37"/>
      <c r="H41" s="37"/>
      <c r="I41" s="37"/>
      <c r="J41" s="37"/>
      <c r="K41" s="37"/>
      <c r="L41" s="37"/>
      <c r="M41" s="37"/>
      <c r="N41" s="37"/>
      <c r="O41" s="37"/>
      <c r="P41" s="37"/>
    </row>
    <row r="42" spans="1:16" x14ac:dyDescent="0.3">
      <c r="A42" s="37"/>
      <c r="B42" s="37"/>
      <c r="C42" s="37"/>
      <c r="D42" s="37"/>
      <c r="E42" s="37"/>
      <c r="F42" s="37"/>
      <c r="G42" s="37"/>
      <c r="H42" s="37"/>
      <c r="I42" s="37"/>
      <c r="J42" s="37"/>
      <c r="K42" s="37"/>
      <c r="L42" s="37"/>
      <c r="M42" s="37"/>
      <c r="N42" s="37"/>
      <c r="O42" s="37"/>
      <c r="P42" s="37"/>
    </row>
    <row r="43" spans="1:16" x14ac:dyDescent="0.3">
      <c r="A43" s="37"/>
      <c r="B43" s="37"/>
      <c r="C43" s="37"/>
      <c r="D43" s="37"/>
      <c r="E43" s="37"/>
      <c r="F43" s="37"/>
      <c r="G43" s="37"/>
      <c r="H43" s="37"/>
      <c r="I43" s="37"/>
      <c r="J43" s="37"/>
      <c r="K43" s="37"/>
      <c r="L43" s="37"/>
      <c r="M43" s="37"/>
      <c r="N43" s="37"/>
      <c r="O43" s="37"/>
      <c r="P43" s="37"/>
    </row>
    <row r="44" spans="1:16" x14ac:dyDescent="0.3">
      <c r="A44" s="37"/>
      <c r="B44" s="37"/>
      <c r="C44" s="37"/>
      <c r="D44" s="37"/>
      <c r="E44" s="37"/>
      <c r="F44" s="37"/>
      <c r="G44" s="37"/>
      <c r="H44" s="37"/>
      <c r="I44" s="37"/>
      <c r="J44" s="37"/>
      <c r="K44" s="37"/>
      <c r="L44" s="37"/>
      <c r="M44" s="37"/>
      <c r="N44" s="37"/>
      <c r="O44" s="37"/>
      <c r="P44" s="37"/>
    </row>
    <row r="45" spans="1:16" x14ac:dyDescent="0.3">
      <c r="A45" s="37"/>
      <c r="B45" s="37"/>
      <c r="C45" s="37"/>
      <c r="D45" s="37"/>
      <c r="E45" s="37"/>
      <c r="F45" s="37"/>
      <c r="G45" s="37"/>
      <c r="H45" s="37"/>
      <c r="I45" s="37"/>
      <c r="J45" s="37"/>
      <c r="K45" s="37"/>
      <c r="L45" s="37"/>
      <c r="M45" s="37"/>
      <c r="N45" s="37"/>
      <c r="O45" s="37"/>
      <c r="P45" s="37"/>
    </row>
    <row r="46" spans="1:16" x14ac:dyDescent="0.3">
      <c r="A46" s="37"/>
      <c r="B46" s="37"/>
      <c r="C46" s="37"/>
      <c r="D46" s="37"/>
      <c r="E46" s="37"/>
      <c r="F46" s="37"/>
      <c r="G46" s="37"/>
      <c r="H46" s="37"/>
      <c r="I46" s="37"/>
      <c r="J46" s="37"/>
      <c r="K46" s="37"/>
      <c r="L46" s="37"/>
      <c r="M46" s="37"/>
      <c r="N46" s="37"/>
      <c r="O46" s="37"/>
      <c r="P46" s="37"/>
    </row>
    <row r="47" spans="1:16" x14ac:dyDescent="0.3">
      <c r="A47" s="37"/>
      <c r="B47" s="37"/>
      <c r="C47" s="37"/>
      <c r="D47" s="37"/>
      <c r="E47" s="37"/>
      <c r="F47" s="37"/>
      <c r="G47" s="37"/>
      <c r="H47" s="37"/>
      <c r="I47" s="37"/>
      <c r="J47" s="37"/>
      <c r="K47" s="37"/>
      <c r="L47" s="37"/>
      <c r="M47" s="37"/>
      <c r="N47" s="37"/>
      <c r="O47" s="37"/>
      <c r="P47" s="37"/>
    </row>
    <row r="48" spans="1:16" x14ac:dyDescent="0.3">
      <c r="A48" s="37"/>
      <c r="B48" s="37"/>
      <c r="C48" s="37"/>
      <c r="D48" s="37"/>
      <c r="E48" s="37"/>
      <c r="F48" s="37"/>
      <c r="G48" s="37"/>
      <c r="H48" s="37"/>
      <c r="I48" s="37"/>
      <c r="J48" s="37"/>
      <c r="K48" s="37"/>
      <c r="L48" s="37"/>
      <c r="M48" s="37"/>
      <c r="N48" s="37"/>
      <c r="O48" s="37"/>
      <c r="P48" s="37"/>
    </row>
    <row r="49" spans="1:16" x14ac:dyDescent="0.3">
      <c r="A49" s="37"/>
      <c r="B49" s="37"/>
      <c r="C49" s="37"/>
      <c r="D49" s="37"/>
      <c r="E49" s="37"/>
      <c r="F49" s="37"/>
      <c r="G49" s="37"/>
      <c r="H49" s="37"/>
      <c r="I49" s="37"/>
      <c r="J49" s="37"/>
      <c r="K49" s="37"/>
      <c r="L49" s="37"/>
      <c r="M49" s="37"/>
      <c r="N49" s="37"/>
      <c r="O49" s="37"/>
      <c r="P49" s="37"/>
    </row>
    <row r="50" spans="1:16" x14ac:dyDescent="0.3">
      <c r="A50" s="37"/>
      <c r="B50" s="37"/>
      <c r="C50" s="37"/>
      <c r="D50" s="37"/>
      <c r="E50" s="37"/>
      <c r="F50" s="37"/>
      <c r="G50" s="37"/>
      <c r="H50" s="37"/>
      <c r="I50" s="37"/>
      <c r="J50" s="37"/>
      <c r="K50" s="37"/>
      <c r="L50" s="37"/>
      <c r="M50" s="37"/>
      <c r="N50" s="37"/>
      <c r="O50" s="37"/>
      <c r="P50" s="37"/>
    </row>
    <row r="51" spans="1:16" x14ac:dyDescent="0.3">
      <c r="A51" s="37"/>
      <c r="B51" s="37"/>
      <c r="C51" s="37"/>
      <c r="D51" s="37"/>
      <c r="E51" s="37"/>
      <c r="F51" s="37"/>
      <c r="G51" s="37"/>
      <c r="H51" s="37"/>
      <c r="I51" s="37"/>
      <c r="J51" s="37"/>
      <c r="K51" s="37"/>
      <c r="L51" s="37"/>
      <c r="M51" s="37"/>
      <c r="N51" s="37"/>
      <c r="O51" s="37"/>
      <c r="P51" s="37"/>
    </row>
    <row r="52" spans="1:16" x14ac:dyDescent="0.3">
      <c r="A52" s="37"/>
      <c r="B52" s="37"/>
      <c r="C52" s="37"/>
      <c r="D52" s="37"/>
      <c r="E52" s="37"/>
      <c r="F52" s="37"/>
      <c r="G52" s="37"/>
      <c r="H52" s="37"/>
      <c r="I52" s="37"/>
      <c r="J52" s="37"/>
      <c r="K52" s="37"/>
      <c r="L52" s="37"/>
      <c r="M52" s="37"/>
      <c r="N52" s="37"/>
      <c r="O52" s="37"/>
      <c r="P52" s="37"/>
    </row>
    <row r="53" spans="1:16" x14ac:dyDescent="0.3">
      <c r="A53" s="37"/>
      <c r="B53" s="37"/>
      <c r="C53" s="37"/>
      <c r="D53" s="37"/>
      <c r="E53" s="37"/>
      <c r="F53" s="37"/>
      <c r="G53" s="37"/>
      <c r="H53" s="37"/>
      <c r="I53" s="37"/>
      <c r="J53" s="37"/>
      <c r="K53" s="37"/>
      <c r="L53" s="37"/>
      <c r="M53" s="37"/>
      <c r="N53" s="37"/>
      <c r="O53" s="37"/>
      <c r="P53" s="37"/>
    </row>
    <row r="54" spans="1:16" x14ac:dyDescent="0.3">
      <c r="A54" s="37"/>
      <c r="B54" s="37"/>
      <c r="C54" s="37"/>
      <c r="D54" s="37"/>
      <c r="E54" s="37"/>
      <c r="F54" s="37"/>
      <c r="G54" s="37"/>
      <c r="H54" s="37"/>
      <c r="I54" s="37"/>
      <c r="J54" s="37"/>
      <c r="K54" s="37"/>
      <c r="L54" s="37"/>
      <c r="M54" s="37"/>
      <c r="N54" s="37"/>
      <c r="O54" s="37"/>
      <c r="P54" s="37"/>
    </row>
  </sheetData>
  <mergeCells count="8">
    <mergeCell ref="A12:E12"/>
    <mergeCell ref="A6:E6"/>
    <mergeCell ref="A1:K1"/>
    <mergeCell ref="A3:B3"/>
    <mergeCell ref="A9:E9"/>
    <mergeCell ref="F9:J9"/>
    <mergeCell ref="F12:J12"/>
    <mergeCell ref="F6:J6"/>
  </mergeCells>
  <phoneticPr fontId="14" type="noConversion"/>
  <pageMargins left="0.7" right="0.7" top="0.75" bottom="0.75" header="0.3" footer="0.3"/>
  <drawing r:id="rId1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76F5F7-9F60-4D98-A402-122B2BB23A26}">
  <dimension ref="A2:I78"/>
  <sheetViews>
    <sheetView tabSelected="1" topLeftCell="A2" workbookViewId="0">
      <selection activeCell="H77" sqref="H77"/>
    </sheetView>
  </sheetViews>
  <sheetFormatPr defaultRowHeight="14.4" x14ac:dyDescent="0.3"/>
  <cols>
    <col min="1" max="1" width="12" bestFit="1" customWidth="1"/>
    <col min="2" max="2" width="14.5546875" bestFit="1" customWidth="1"/>
    <col min="3" max="3" width="20" bestFit="1" customWidth="1"/>
    <col min="4" max="4" width="6.88671875" bestFit="1" customWidth="1"/>
    <col min="5" max="5" width="14.88671875" bestFit="1" customWidth="1"/>
    <col min="6" max="6" width="9.6640625" bestFit="1" customWidth="1"/>
    <col min="7" max="7" width="12.44140625" bestFit="1" customWidth="1"/>
    <col min="8" max="8" width="9.6640625" bestFit="1" customWidth="1"/>
  </cols>
  <sheetData>
    <row r="2" spans="1:2" ht="21" x14ac:dyDescent="0.4">
      <c r="A2" s="32" t="s">
        <v>432</v>
      </c>
    </row>
    <row r="4" spans="1:2" ht="18" x14ac:dyDescent="0.3">
      <c r="A4" s="6" t="s">
        <v>433</v>
      </c>
    </row>
    <row r="5" spans="1:2" x14ac:dyDescent="0.3">
      <c r="A5" s="7"/>
    </row>
    <row r="6" spans="1:2" ht="18" x14ac:dyDescent="0.3">
      <c r="A6" s="18" t="s">
        <v>434</v>
      </c>
    </row>
    <row r="7" spans="1:2" ht="18" x14ac:dyDescent="0.3">
      <c r="A7" s="18" t="s">
        <v>435</v>
      </c>
    </row>
    <row r="8" spans="1:2" ht="18" x14ac:dyDescent="0.35">
      <c r="A8" s="113" t="s">
        <v>67</v>
      </c>
      <c r="B8" s="14" t="s">
        <v>42</v>
      </c>
    </row>
    <row r="9" spans="1:2" ht="18" x14ac:dyDescent="0.35">
      <c r="A9" s="114" t="s">
        <v>10</v>
      </c>
      <c r="B9" s="115">
        <v>546.07000000000005</v>
      </c>
    </row>
    <row r="10" spans="1:2" ht="18" x14ac:dyDescent="0.35">
      <c r="A10" s="114" t="s">
        <v>24</v>
      </c>
      <c r="B10" s="115">
        <v>183.51</v>
      </c>
    </row>
    <row r="11" spans="1:2" ht="18" x14ac:dyDescent="0.35">
      <c r="A11" s="114"/>
      <c r="B11" s="115"/>
    </row>
    <row r="12" spans="1:2" ht="18" x14ac:dyDescent="0.35">
      <c r="A12" s="114"/>
      <c r="B12" s="115"/>
    </row>
    <row r="13" spans="1:2" ht="18" x14ac:dyDescent="0.35">
      <c r="A13" s="114"/>
      <c r="B13" s="115"/>
    </row>
    <row r="15" spans="1:2" ht="18" x14ac:dyDescent="0.3">
      <c r="A15" s="18" t="s">
        <v>436</v>
      </c>
    </row>
    <row r="16" spans="1:2" ht="18" x14ac:dyDescent="0.35">
      <c r="A16" s="113" t="s">
        <v>67</v>
      </c>
      <c r="B16" s="14" t="s">
        <v>41</v>
      </c>
    </row>
    <row r="17" spans="1:2" ht="18" x14ac:dyDescent="0.35">
      <c r="A17" s="114" t="s">
        <v>21</v>
      </c>
      <c r="B17" s="115">
        <v>1778.4</v>
      </c>
    </row>
    <row r="18" spans="1:2" ht="18" x14ac:dyDescent="0.35">
      <c r="A18" s="114" t="s">
        <v>9</v>
      </c>
      <c r="B18" s="115">
        <v>1627.16</v>
      </c>
    </row>
    <row r="19" spans="1:2" ht="18" x14ac:dyDescent="0.35">
      <c r="A19" s="114" t="s">
        <v>23</v>
      </c>
      <c r="B19" s="115">
        <v>1083.33</v>
      </c>
    </row>
    <row r="20" spans="1:2" ht="18" x14ac:dyDescent="0.35">
      <c r="A20" s="114" t="s">
        <v>25</v>
      </c>
      <c r="B20" s="115">
        <v>325.88</v>
      </c>
    </row>
    <row r="25" spans="1:2" ht="18" x14ac:dyDescent="0.3">
      <c r="A25" s="18" t="s">
        <v>474</v>
      </c>
    </row>
    <row r="26" spans="1:2" ht="18" x14ac:dyDescent="0.3">
      <c r="A26" s="18"/>
    </row>
    <row r="27" spans="1:2" ht="18" x14ac:dyDescent="0.35">
      <c r="A27" s="113" t="s">
        <v>67</v>
      </c>
      <c r="B27" s="14" t="s">
        <v>457</v>
      </c>
    </row>
    <row r="28" spans="1:2" ht="18" x14ac:dyDescent="0.35">
      <c r="A28" s="114" t="s">
        <v>21</v>
      </c>
      <c r="B28" s="117"/>
    </row>
    <row r="29" spans="1:2" ht="18" x14ac:dyDescent="0.35">
      <c r="A29" s="116" t="s">
        <v>10</v>
      </c>
      <c r="B29" s="117">
        <v>1</v>
      </c>
    </row>
    <row r="30" spans="1:2" ht="18" x14ac:dyDescent="0.35">
      <c r="A30" s="114" t="s">
        <v>9</v>
      </c>
      <c r="B30" s="117"/>
    </row>
    <row r="31" spans="1:2" ht="18" x14ac:dyDescent="0.35">
      <c r="A31" s="116" t="s">
        <v>10</v>
      </c>
      <c r="B31" s="117">
        <v>1</v>
      </c>
    </row>
    <row r="32" spans="1:2" ht="18" x14ac:dyDescent="0.35">
      <c r="A32" s="114" t="s">
        <v>23</v>
      </c>
      <c r="B32" s="117"/>
    </row>
    <row r="33" spans="1:9" ht="18" x14ac:dyDescent="0.35">
      <c r="A33" s="116" t="s">
        <v>10</v>
      </c>
      <c r="B33" s="117">
        <v>1.6393442622950821E-2</v>
      </c>
    </row>
    <row r="34" spans="1:9" ht="18" x14ac:dyDescent="0.35">
      <c r="A34" s="116" t="s">
        <v>24</v>
      </c>
      <c r="B34" s="117">
        <v>0.98360655737704916</v>
      </c>
    </row>
    <row r="35" spans="1:9" ht="18" x14ac:dyDescent="0.35">
      <c r="A35" s="114" t="s">
        <v>25</v>
      </c>
      <c r="B35" s="117"/>
    </row>
    <row r="36" spans="1:9" ht="18" x14ac:dyDescent="0.35">
      <c r="A36" s="116" t="s">
        <v>24</v>
      </c>
      <c r="B36" s="117">
        <v>0.36842105263157893</v>
      </c>
    </row>
    <row r="37" spans="1:9" ht="18" x14ac:dyDescent="0.35">
      <c r="A37" s="116" t="s">
        <v>10</v>
      </c>
      <c r="B37" s="117">
        <v>0.63157894736842102</v>
      </c>
    </row>
    <row r="38" spans="1:9" ht="18" x14ac:dyDescent="0.3">
      <c r="A38" s="18" t="s">
        <v>475</v>
      </c>
    </row>
    <row r="39" spans="1:9" ht="18" x14ac:dyDescent="0.3">
      <c r="A39" s="18"/>
    </row>
    <row r="40" spans="1:9" ht="18" x14ac:dyDescent="0.3">
      <c r="A40" s="18" t="s">
        <v>476</v>
      </c>
    </row>
    <row r="41" spans="1:9" ht="18" x14ac:dyDescent="0.3">
      <c r="A41" s="18" t="s">
        <v>477</v>
      </c>
    </row>
    <row r="42" spans="1:9" x14ac:dyDescent="0.3">
      <c r="F42" s="4" t="s">
        <v>1</v>
      </c>
      <c r="G42" s="4" t="s">
        <v>383</v>
      </c>
      <c r="H42" t="s">
        <v>48</v>
      </c>
      <c r="I42" s="3" t="s">
        <v>470</v>
      </c>
    </row>
    <row r="43" spans="1:9" x14ac:dyDescent="0.3">
      <c r="F43" s="5" t="s">
        <v>8</v>
      </c>
      <c r="G43" s="111">
        <v>2897.43</v>
      </c>
      <c r="H43" s="111">
        <v>151</v>
      </c>
      <c r="I43">
        <f>G43/H43</f>
        <v>19.188278145695364</v>
      </c>
    </row>
    <row r="44" spans="1:9" x14ac:dyDescent="0.3">
      <c r="F44" s="5" t="s">
        <v>22</v>
      </c>
      <c r="G44" s="111">
        <v>1917.34</v>
      </c>
      <c r="H44" s="111">
        <v>92</v>
      </c>
      <c r="I44">
        <f>G44/H44</f>
        <v>20.840652173913043</v>
      </c>
    </row>
    <row r="46" spans="1:9" x14ac:dyDescent="0.3">
      <c r="F46" s="4" t="s">
        <v>1</v>
      </c>
      <c r="G46" t="s">
        <v>482</v>
      </c>
      <c r="H46" s="3" t="s">
        <v>469</v>
      </c>
      <c r="I46" s="3" t="s">
        <v>70</v>
      </c>
    </row>
    <row r="47" spans="1:9" x14ac:dyDescent="0.3">
      <c r="F47" s="5" t="s">
        <v>8</v>
      </c>
      <c r="G47" s="111">
        <v>451.77</v>
      </c>
      <c r="H47" s="2">
        <f>G47/G43</f>
        <v>0.1559209368302254</v>
      </c>
      <c r="I47">
        <f>G47/H43</f>
        <v>2.9918543046357615</v>
      </c>
    </row>
    <row r="48" spans="1:9" x14ac:dyDescent="0.3">
      <c r="F48" s="5" t="s">
        <v>22</v>
      </c>
      <c r="G48" s="111">
        <v>277.81</v>
      </c>
      <c r="H48" s="2">
        <f>G48/G44</f>
        <v>0.14489344612849053</v>
      </c>
      <c r="I48">
        <f>G48/H44</f>
        <v>3.0196739130434782</v>
      </c>
    </row>
    <row r="52" spans="1:9" ht="43.2" x14ac:dyDescent="0.3">
      <c r="A52" s="18" t="s">
        <v>478</v>
      </c>
      <c r="D52" s="118" t="s">
        <v>50</v>
      </c>
      <c r="E52" s="118" t="s">
        <v>41</v>
      </c>
      <c r="F52" s="118" t="s">
        <v>42</v>
      </c>
      <c r="G52" s="118" t="s">
        <v>484</v>
      </c>
      <c r="H52" s="118" t="s">
        <v>485</v>
      </c>
      <c r="I52" s="118" t="s">
        <v>486</v>
      </c>
    </row>
    <row r="53" spans="1:9" ht="18" x14ac:dyDescent="0.3">
      <c r="A53" s="18"/>
      <c r="D53" s="5" t="s">
        <v>7</v>
      </c>
      <c r="E53" s="111">
        <v>1557.9499999999998</v>
      </c>
      <c r="F53" s="111">
        <v>244.51</v>
      </c>
      <c r="G53" s="111">
        <v>86</v>
      </c>
      <c r="H53" s="11">
        <f>E53/G53</f>
        <v>18.115697674418602</v>
      </c>
      <c r="I53" s="11">
        <f>F53/G53</f>
        <v>2.8431395348837207</v>
      </c>
    </row>
    <row r="54" spans="1:9" ht="18" x14ac:dyDescent="0.3">
      <c r="A54" s="18"/>
      <c r="D54" s="5" t="s">
        <v>11</v>
      </c>
      <c r="E54" s="111">
        <v>3256.8200000000024</v>
      </c>
      <c r="F54" s="111">
        <v>485.07000000000011</v>
      </c>
      <c r="G54" s="111">
        <v>157</v>
      </c>
      <c r="H54" s="11">
        <f t="shared" ref="H54:H57" si="0">E54/G54</f>
        <v>20.744076433121034</v>
      </c>
      <c r="I54" s="11">
        <f t="shared" ref="I54:I57" si="1">F54/G54</f>
        <v>3.0896178343949052</v>
      </c>
    </row>
    <row r="55" spans="1:9" ht="28.8" x14ac:dyDescent="0.3">
      <c r="A55" s="18"/>
      <c r="D55" s="118" t="s">
        <v>50</v>
      </c>
      <c r="E55" s="118" t="s">
        <v>42</v>
      </c>
      <c r="F55" s="118" t="s">
        <v>41</v>
      </c>
      <c r="G55" s="118" t="s">
        <v>483</v>
      </c>
    </row>
    <row r="56" spans="1:9" ht="18" x14ac:dyDescent="0.3">
      <c r="A56" s="18"/>
      <c r="D56" s="5" t="s">
        <v>7</v>
      </c>
      <c r="E56" s="111">
        <v>244.51</v>
      </c>
      <c r="F56" s="111">
        <v>1557.95</v>
      </c>
      <c r="G56" s="2">
        <f>E56/F56</f>
        <v>0.15694341923681759</v>
      </c>
    </row>
    <row r="57" spans="1:9" ht="18" x14ac:dyDescent="0.3">
      <c r="A57" s="18"/>
      <c r="D57" s="5" t="s">
        <v>11</v>
      </c>
      <c r="E57" s="111">
        <v>485.07</v>
      </c>
      <c r="F57" s="111">
        <v>3256.82</v>
      </c>
      <c r="G57" s="2">
        <f>E57/F57</f>
        <v>0.14893976332741754</v>
      </c>
    </row>
    <row r="58" spans="1:9" ht="18" x14ac:dyDescent="0.3">
      <c r="A58" s="18"/>
    </row>
    <row r="59" spans="1:9" ht="18" x14ac:dyDescent="0.3">
      <c r="A59" s="18" t="s">
        <v>487</v>
      </c>
    </row>
    <row r="62" spans="1:9" ht="18" x14ac:dyDescent="0.3">
      <c r="A62" s="18" t="s">
        <v>437</v>
      </c>
    </row>
    <row r="63" spans="1:9" ht="18" x14ac:dyDescent="0.3">
      <c r="A63" s="18" t="s">
        <v>488</v>
      </c>
    </row>
    <row r="64" spans="1:9" ht="18" x14ac:dyDescent="0.3">
      <c r="A64" s="18" t="s">
        <v>479</v>
      </c>
    </row>
    <row r="65" spans="1:1" ht="18" x14ac:dyDescent="0.3">
      <c r="A65" s="18" t="s">
        <v>489</v>
      </c>
    </row>
    <row r="66" spans="1:1" ht="18" x14ac:dyDescent="0.3">
      <c r="A66" s="18" t="s">
        <v>490</v>
      </c>
    </row>
    <row r="67" spans="1:1" ht="18" x14ac:dyDescent="0.3">
      <c r="A67" s="18" t="s">
        <v>439</v>
      </c>
    </row>
    <row r="68" spans="1:1" ht="18" x14ac:dyDescent="0.3">
      <c r="A68" s="18" t="s">
        <v>480</v>
      </c>
    </row>
    <row r="70" spans="1:1" ht="18" x14ac:dyDescent="0.3">
      <c r="A70" s="18" t="s">
        <v>447</v>
      </c>
    </row>
    <row r="72" spans="1:1" ht="18" x14ac:dyDescent="0.3">
      <c r="A72" s="18" t="s">
        <v>481</v>
      </c>
    </row>
    <row r="73" spans="1:1" ht="18" x14ac:dyDescent="0.3">
      <c r="A73" s="18" t="s">
        <v>441</v>
      </c>
    </row>
    <row r="74" spans="1:1" ht="18" x14ac:dyDescent="0.3">
      <c r="A74" s="18" t="s">
        <v>444</v>
      </c>
    </row>
    <row r="75" spans="1:1" ht="18" x14ac:dyDescent="0.3">
      <c r="A75" s="18" t="s">
        <v>445</v>
      </c>
    </row>
    <row r="76" spans="1:1" ht="18" x14ac:dyDescent="0.3">
      <c r="A76" s="18" t="s">
        <v>446</v>
      </c>
    </row>
    <row r="77" spans="1:1" ht="18" x14ac:dyDescent="0.3">
      <c r="A77" s="18" t="s">
        <v>448</v>
      </c>
    </row>
    <row r="78" spans="1:1" ht="18" x14ac:dyDescent="0.3">
      <c r="A78" s="18" t="s">
        <v>449</v>
      </c>
    </row>
  </sheetData>
  <pageMargins left="0.7" right="0.7" top="0.75" bottom="0.75" header="0.3" footer="0.3"/>
  <drawing r:id="rId8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21</vt:i4>
      </vt:variant>
    </vt:vector>
  </HeadingPairs>
  <TitlesOfParts>
    <vt:vector size="21" baseType="lpstr">
      <vt:lpstr>tips dataset</vt:lpstr>
      <vt:lpstr>Data </vt:lpstr>
      <vt:lpstr>Residual and RMSE</vt:lpstr>
      <vt:lpstr>Data on tip by Sex </vt:lpstr>
      <vt:lpstr>Data ontip by time</vt:lpstr>
      <vt:lpstr>Data Understanding</vt:lpstr>
      <vt:lpstr>Working sheet Stat anal</vt:lpstr>
      <vt:lpstr>Basic EDA</vt:lpstr>
      <vt:lpstr>SA on tip by smoker vs nonsmoke</vt:lpstr>
      <vt:lpstr>SA on tips by gender</vt:lpstr>
      <vt:lpstr>Time Hypo testing</vt:lpstr>
      <vt:lpstr>Correlation Analysis</vt:lpstr>
      <vt:lpstr>ph-6 Regression </vt:lpstr>
      <vt:lpstr>Model 1</vt:lpstr>
      <vt:lpstr>Model 2</vt:lpstr>
      <vt:lpstr>Model 3</vt:lpstr>
      <vt:lpstr>Model comparison</vt:lpstr>
      <vt:lpstr>Regression explain</vt:lpstr>
      <vt:lpstr>Working Sheet</vt:lpstr>
      <vt:lpstr>DashBoard</vt:lpstr>
      <vt:lpstr>Executive Summary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Balaji Venkateswaran</dc:creator>
  <cp:keywords/>
  <dc:description/>
  <cp:lastModifiedBy>choudharynikhil0506@gmail.com</cp:lastModifiedBy>
  <cp:revision/>
  <dcterms:created xsi:type="dcterms:W3CDTF">2021-10-26T16:10:41Z</dcterms:created>
  <dcterms:modified xsi:type="dcterms:W3CDTF">2026-06-23T16:13:54Z</dcterms:modified>
  <cp:category/>
  <cp:contentStatus/>
</cp:coreProperties>
</file>