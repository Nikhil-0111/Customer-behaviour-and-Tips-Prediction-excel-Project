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nikhil assignment\restaraunt tip dataset\"/>
    </mc:Choice>
  </mc:AlternateContent>
  <xr:revisionPtr revIDLastSave="0" documentId="13_ncr:1_{6E20AE5C-905B-4A54-B8FB-86E5F8B7CC23}" xr6:coauthVersionLast="47" xr6:coauthVersionMax="47" xr10:uidLastSave="{00000000-0000-0000-0000-000000000000}"/>
  <bookViews>
    <workbookView xWindow="11424" yWindow="0" windowWidth="11712" windowHeight="12336" firstSheet="1" activeTab="2" xr2:uid="{E39F1B53-3127-4D6C-88BD-079CCE5E8692}"/>
  </bookViews>
  <sheets>
    <sheet name="tips" sheetId="1" r:id="rId1"/>
    <sheet name="Data Understanding" sheetId="2" r:id="rId2"/>
    <sheet name="Basic EDA" sheetId="3" r:id="rId3"/>
  </sheets>
  <definedNames>
    <definedName name="_xlcn.WorksheetConnection_tipsA1G2441" hidden="1">tips!$A$1:$G$244</definedName>
  </definedNames>
  <calcPr calcId="191028"/>
  <pivotCaches>
    <pivotCache cacheId="7" r:id="rId4"/>
    <pivotCache cacheId="182" r:id="rId5"/>
    <pivotCache cacheId="183" r:id="rId6"/>
    <pivotCache cacheId="184" r:id="rId7"/>
    <pivotCache cacheId="185" r:id="rId8"/>
    <pivotCache cacheId="186" r:id="rId9"/>
    <pivotCache cacheId="187" r:id="rId10"/>
    <pivotCache cacheId="195" r:id="rId11"/>
    <pivotCache cacheId="198" r:id="rId12"/>
    <pivotCache cacheId="20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ips!$A$1:$G$244"/>
        </x15:modelTables>
      </x15:dataModel>
    </ext>
  </extLst>
</workbook>
</file>

<file path=xl/calcChain.xml><?xml version="1.0" encoding="utf-8"?>
<calcChain xmlns="http://schemas.openxmlformats.org/spreadsheetml/2006/main">
  <c r="I14" i="3" l="1"/>
  <c r="I13" i="3"/>
  <c r="E7" i="3"/>
  <c r="E3" i="3"/>
  <c r="E5" i="3"/>
  <c r="H7" i="2"/>
  <c r="H8" i="2"/>
  <c r="G6" i="2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3E7D4-F859-4F01-9060-30294A02E5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613A41-934C-49B4-841D-070D9102317A}" name="WorksheetConnection_tips!$A$1:$G$2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ipsA1G2441"/>
        </x15:connection>
      </ext>
    </extLst>
  </connection>
</connections>
</file>

<file path=xl/sharedStrings.xml><?xml version="1.0" encoding="utf-8"?>
<sst xmlns="http://schemas.openxmlformats.org/spreadsheetml/2006/main" count="1079" uniqueCount="75">
  <si>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</si>
  <si>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</si>
  <si>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</si>
  <si>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</si>
  <si>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</si>
  <si>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</si>
  <si>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</si>
  <si>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</si>
  <si>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</si>
  <si>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</si>
  <si>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</si>
  <si>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</si>
  <si>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</si>
  <si>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</si>
  <si>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</si>
  <si>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</si>
  <si>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</si>
  <si>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</si>
  <si>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</si>
  <si>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</si>
  <si>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</si>
  <si>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</si>
  <si>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</si>
  <si>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</si>
  <si>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</si>
  <si>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</si>
  <si>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number of records in the dataset</t>
  </si>
  <si>
    <t>missing values</t>
  </si>
  <si>
    <t>duplicate observations</t>
  </si>
  <si>
    <t>percentage of customers are smokers</t>
  </si>
  <si>
    <t>percentage of customers visit during lunch and dinner</t>
  </si>
  <si>
    <t>day has the highest customer volume</t>
  </si>
  <si>
    <t>Sum of size</t>
  </si>
  <si>
    <t>Row Labels</t>
  </si>
  <si>
    <t>Grand Total</t>
  </si>
  <si>
    <t>Customer Analysis</t>
  </si>
  <si>
    <t>1.average bill amount</t>
  </si>
  <si>
    <t>2.Average tip Amount</t>
  </si>
  <si>
    <t>3Average Tip percentage</t>
  </si>
  <si>
    <t>Gender Analysis</t>
  </si>
  <si>
    <t>1. Do males spend more than females?</t>
  </si>
  <si>
    <t>2. Do males leave larger tips?</t>
  </si>
  <si>
    <t>3. Which gender has a higher tip percentage?</t>
  </si>
  <si>
    <t>Sum of total_bill</t>
  </si>
  <si>
    <t>Sum of tip</t>
  </si>
  <si>
    <t>yes</t>
  </si>
  <si>
    <t>Smoking Analysis</t>
  </si>
  <si>
    <t>1. Do smokers generate higher bills?</t>
  </si>
  <si>
    <t>2. Do smokers leave larger tips?</t>
  </si>
  <si>
    <t>3. Is the difference statistically significant?</t>
  </si>
  <si>
    <t>Sum of tip2</t>
  </si>
  <si>
    <t>Sum of total_bill2</t>
  </si>
  <si>
    <t>Smokers  percentage</t>
  </si>
  <si>
    <t>Count of smoker</t>
  </si>
  <si>
    <t>customer paid almost eqaully irrespect of either they smoke or not</t>
  </si>
  <si>
    <t>Smoker</t>
  </si>
  <si>
    <t>Sex</t>
  </si>
  <si>
    <t>Time Analysis</t>
  </si>
  <si>
    <t>1. Does dinner generate more revenue than lunch?</t>
  </si>
  <si>
    <t>2. Does dinner produce higher tips?</t>
  </si>
  <si>
    <t>3. What is the average customer group size during lunch vs dinner?</t>
  </si>
  <si>
    <t>Day Analysis</t>
  </si>
  <si>
    <t xml:space="preserve">percent of amoker </t>
  </si>
  <si>
    <t>Average of size</t>
  </si>
  <si>
    <t>Dinner roduces more revenue $3660.3 while</t>
  </si>
  <si>
    <t xml:space="preserve"> lunch produces $1154.5 of revenue</t>
  </si>
  <si>
    <t>Yes Tips produce by Dinner 546.03$ and during lunch 183.5 $</t>
  </si>
  <si>
    <t>almost simillar</t>
  </si>
  <si>
    <t xml:space="preserve">Lunch </t>
  </si>
  <si>
    <t>Which day generates the highest revenue?</t>
  </si>
  <si>
    <t>Which day generates the highest tips?</t>
  </si>
  <si>
    <t>Which day has the highest average bill?</t>
  </si>
  <si>
    <t>Day</t>
  </si>
  <si>
    <t>Time</t>
  </si>
  <si>
    <t>Average of total_bill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</si>
</sst>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NumberFormat="1"/>
    <xf numFmtId="0" fontId="2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Border="1"/>
    <xf numFmtId="0" fontId="0" fillId="0" borderId="3" xfId="0" applyBorder="1"/>
    <xf numFmtId="9" fontId="0" fillId="0" borderId="3" xfId="1" applyFont="1" applyBorder="1"/>
    <xf numFmtId="10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7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86.761699537034" createdVersion="8" refreshedVersion="8" minRefreshableVersion="3" recordCount="243" xr:uid="{D557AAB6-FBB9-42C8-90BD-FAD8C0576F23}">
  <cacheSource type="worksheet">
    <worksheetSource ref="A1:G244" sheet="tips"/>
  </cacheSource>
  <cacheFields count="7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 count="4">
        <s v="Sun"/>
        <s v="Sat"/>
        <s v="Thur"/>
        <s v="Fri"/>
      </sharedItems>
    </cacheField>
    <cacheField name="time" numFmtId="0">
      <sharedItems/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97284490742" backgroundQuery="1" createdVersion="8" refreshedVersion="8" minRefreshableVersion="3" recordCount="0" supportSubquery="1" supportAdvancedDrill="1" xr:uid="{D7AA83D9-95C5-4F5E-B47B-73978237451D}">
  <cacheSource type="external" connectionId="1"/>
  <cacheFields count="4">
    <cacheField name="[Range].[time].[time]" caption="time" numFmtId="0" hierarchy="3" level="1">
      <sharedItems count="2">
        <s v="Dinner"/>
        <s v="Lunch"/>
      </sharedItems>
    </cacheField>
    <cacheField name="[Measures].[Sum of total_bill]" caption="Sum of total_bill" numFmtId="0" hierarchy="10" level="32767"/>
    <cacheField name="[Measures].[Sum of tip]" caption="Sum of tip" numFmtId="0" hierarchy="9" level="32767"/>
    <cacheField name="[Measures].[Average of size]" caption="Average of size" numFmtId="0" hierarchy="13" level="32767"/>
  </cacheFields>
  <cacheHierarchies count="15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8206701389" backgroundQuery="1" createdVersion="8" refreshedVersion="8" minRefreshableVersion="3" recordCount="0" supportSubquery="1" supportAdvancedDrill="1" xr:uid="{85B9C84F-105D-41FB-AC26-BD698E25A467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Count of smoker]" caption="Count of smoker" numFmtId="0" hierarchy="11" level="32767"/>
    <cacheField name="Unsupported0" numFmtId="0" hierarchy="1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6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Unsupported0" caption="sex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79416203703" backgroundQuery="1" createdVersion="8" refreshedVersion="8" minRefreshableVersion="3" recordCount="0" supportSubquery="1" supportAdvancedDrill="1" xr:uid="{94479A58-5E88-4852-A751-02C91899B529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Sum of tip]" caption="Sum of tip" numFmtId="0" hierarchy="9" level="32767"/>
    <cacheField name="Unsupported0" numFmtId="0" hierarchy="1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6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Unsupported0" caption="sex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80192708335" backgroundQuery="1" createdVersion="8" refreshedVersion="8" minRefreshableVersion="3" recordCount="0" supportSubquery="1" supportAdvancedDrill="1" xr:uid="{A0F54687-2FF1-4DB0-AE80-D3BE4690D7BA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Sum of total_bill]" caption="Sum of total_bill" numFmtId="0" hierarchy="10" level="32767"/>
    <cacheField name="Unsupported0" numFmtId="0" hierarchy="1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6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Unsupported0" caption="sex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76043287035" backgroundQuery="1" createdVersion="8" refreshedVersion="8" minRefreshableVersion="3" recordCount="0" supportSubquery="1" supportAdvancedDrill="1" xr:uid="{8233CC7D-9A81-405B-AD39-5167755E259F}">
  <cacheSource type="external" connectionId="1"/>
  <cacheFields count="2">
    <cacheField name="[Range].[sex].[sex]" caption="sex" numFmtId="0" level="1">
      <sharedItems count="2">
        <s v="Female"/>
        <s v="Male"/>
      </sharedItems>
    </cacheField>
    <cacheField name="[Measures].[Sum of tip]" caption="Sum of tip" numFmtId="0" hierarchy="9" level="32767"/>
  </cacheFields>
  <cacheHierarchies count="15">
    <cacheHierarchy uniqueName="[Range].[sex]" caption="sex" attribute="1" defaultMemberUniqueName="[Range].[sex].[All]" allUniqueName="[Range].[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74969560189" backgroundQuery="1" createdVersion="8" refreshedVersion="8" minRefreshableVersion="3" recordCount="0" supportSubquery="1" supportAdvancedDrill="1" xr:uid="{9A2B7F63-76E5-4F8D-A325-BBEAA97CA368}">
  <cacheSource type="external" connectionId="1"/>
  <cacheFields count="2">
    <cacheField name="[Range].[sex].[sex]" caption="sex" numFmtId="0" level="1">
      <sharedItems count="2">
        <s v="Female"/>
        <s v="Male"/>
      </sharedItems>
    </cacheField>
    <cacheField name="[Measures].[Sum of tip]" caption="Sum of tip" numFmtId="0" hierarchy="9" level="32767"/>
  </cacheFields>
  <cacheHierarchies count="15">
    <cacheHierarchy uniqueName="[Range].[sex]" caption="sex" attribute="1" defaultMemberUniqueName="[Range].[sex].[All]" allUniqueName="[Range].[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638657406" backgroundQuery="1" createdVersion="8" refreshedVersion="8" minRefreshableVersion="3" recordCount="0" supportSubquery="1" supportAdvancedDrill="1" xr:uid="{AE9B5B80-FD0D-40A1-819E-F532D9A77870}">
  <cacheSource type="external" connectionId="1"/>
  <cacheFields count="2">
    <cacheField name="[Range].[day].[day]" caption="day" numFmtId="0" hierarchy="2" level="1">
      <sharedItems count="1">
        <s v="Sun"/>
      </sharedItems>
    </cacheField>
    <cacheField name="[Measures].[Average of total_bill]" caption="Average of total_bill" numFmtId="0" hierarchy="14" level="32767"/>
  </cacheFields>
  <cacheHierarchies count="15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756712962" backgroundQuery="1" createdVersion="8" refreshedVersion="8" minRefreshableVersion="3" recordCount="0" supportSubquery="1" supportAdvancedDrill="1" xr:uid="{934579D9-861B-4090-9BD3-A884AC34D711}">
  <cacheSource type="external" connectionId="1"/>
  <cacheFields count="2">
    <cacheField name="[Range].[day].[day]" caption="day" numFmtId="0" hierarchy="2" level="1">
      <sharedItems count="1">
        <s v="Sat"/>
      </sharedItems>
    </cacheField>
    <cacheField name="[Measures].[Sum of tip]" caption="Sum of tip" numFmtId="0" hierarchy="9" level="32767"/>
  </cacheFields>
  <cacheHierarchies count="15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839236109" backgroundQuery="1" createdVersion="8" refreshedVersion="8" minRefreshableVersion="3" recordCount="0" supportSubquery="1" supportAdvancedDrill="1" xr:uid="{ABA2FF65-B566-4C9C-83C5-340268FF3E4E}">
  <cacheSource type="external" connectionId="1"/>
  <cacheFields count="2">
    <cacheField name="[Range].[day].[day]" caption="day" numFmtId="0" hierarchy="2" level="1">
      <sharedItems count="1">
        <s v="Sat"/>
      </sharedItems>
    </cacheField>
    <cacheField name="[Measures].[Sum of total_bill]" caption="Sum of total_bill" numFmtId="0" hierarchy="10" level="32767"/>
  </cacheFields>
  <cacheHierarchies count="15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s v="No"/>
    <x v="0"/>
    <s v="Dinner"/>
    <n v="2"/>
    <n v="16.989999999999998"/>
    <n v="1.01"/>
  </r>
  <r>
    <x v="1"/>
    <s v="No"/>
    <x v="0"/>
    <s v="Dinner"/>
    <n v="3"/>
    <n v="10.34"/>
    <n v="1.66"/>
  </r>
  <r>
    <x v="1"/>
    <s v="No"/>
    <x v="0"/>
    <s v="Dinner"/>
    <n v="3"/>
    <n v="21.01"/>
    <n v="3.5"/>
  </r>
  <r>
    <x v="1"/>
    <s v="No"/>
    <x v="0"/>
    <s v="Dinner"/>
    <n v="2"/>
    <n v="23.68"/>
    <n v="3.31"/>
  </r>
  <r>
    <x v="0"/>
    <s v="No"/>
    <x v="0"/>
    <s v="Dinner"/>
    <n v="4"/>
    <n v="24.59"/>
    <n v="3.61"/>
  </r>
  <r>
    <x v="1"/>
    <s v="No"/>
    <x v="0"/>
    <s v="Dinner"/>
    <n v="4"/>
    <n v="25.29"/>
    <n v="4.71"/>
  </r>
  <r>
    <x v="1"/>
    <s v="No"/>
    <x v="0"/>
    <s v="Dinner"/>
    <n v="2"/>
    <n v="8.77"/>
    <n v="2"/>
  </r>
  <r>
    <x v="1"/>
    <s v="No"/>
    <x v="0"/>
    <s v="Dinner"/>
    <n v="4"/>
    <n v="26.88"/>
    <n v="3.12"/>
  </r>
  <r>
    <x v="1"/>
    <s v="No"/>
    <x v="0"/>
    <s v="Dinner"/>
    <n v="2"/>
    <n v="15.04"/>
    <n v="1.96"/>
  </r>
  <r>
    <x v="1"/>
    <s v="No"/>
    <x v="0"/>
    <s v="Dinner"/>
    <n v="2"/>
    <n v="14.78"/>
    <n v="3.23"/>
  </r>
  <r>
    <x v="1"/>
    <s v="No"/>
    <x v="0"/>
    <s v="Dinner"/>
    <n v="2"/>
    <n v="10.27"/>
    <n v="1.71"/>
  </r>
  <r>
    <x v="0"/>
    <s v="No"/>
    <x v="0"/>
    <s v="Dinner"/>
    <n v="4"/>
    <n v="35.26"/>
    <n v="5"/>
  </r>
  <r>
    <x v="1"/>
    <s v="No"/>
    <x v="0"/>
    <s v="Dinner"/>
    <n v="2"/>
    <n v="15.42"/>
    <n v="1.57"/>
  </r>
  <r>
    <x v="1"/>
    <s v="No"/>
    <x v="0"/>
    <s v="Dinner"/>
    <n v="4"/>
    <n v="18.43"/>
    <n v="3"/>
  </r>
  <r>
    <x v="0"/>
    <s v="No"/>
    <x v="0"/>
    <s v="Dinner"/>
    <n v="2"/>
    <n v="14.83"/>
    <n v="3.02"/>
  </r>
  <r>
    <x v="1"/>
    <s v="No"/>
    <x v="0"/>
    <s v="Dinner"/>
    <n v="2"/>
    <n v="21.58"/>
    <n v="3.92"/>
  </r>
  <r>
    <x v="0"/>
    <s v="No"/>
    <x v="0"/>
    <s v="Dinner"/>
    <n v="3"/>
    <n v="10.33"/>
    <n v="1.67"/>
  </r>
  <r>
    <x v="1"/>
    <s v="No"/>
    <x v="0"/>
    <s v="Dinner"/>
    <n v="3"/>
    <n v="16.29"/>
    <n v="3.71"/>
  </r>
  <r>
    <x v="0"/>
    <s v="No"/>
    <x v="0"/>
    <s v="Dinner"/>
    <n v="3"/>
    <n v="16.97"/>
    <n v="3.5"/>
  </r>
  <r>
    <x v="1"/>
    <s v="No"/>
    <x v="1"/>
    <s v="Dinner"/>
    <n v="3"/>
    <n v="20.65"/>
    <n v="3.35"/>
  </r>
  <r>
    <x v="1"/>
    <s v="No"/>
    <x v="1"/>
    <s v="Dinner"/>
    <n v="2"/>
    <n v="17.920000000000002"/>
    <n v="4.08"/>
  </r>
  <r>
    <x v="0"/>
    <s v="No"/>
    <x v="1"/>
    <s v="Dinner"/>
    <n v="2"/>
    <n v="20.29"/>
    <n v="2.75"/>
  </r>
  <r>
    <x v="0"/>
    <s v="No"/>
    <x v="1"/>
    <s v="Dinner"/>
    <n v="2"/>
    <n v="15.77"/>
    <n v="2.23"/>
  </r>
  <r>
    <x v="1"/>
    <s v="No"/>
    <x v="1"/>
    <s v="Dinner"/>
    <n v="4"/>
    <n v="39.42"/>
    <n v="7.58"/>
  </r>
  <r>
    <x v="1"/>
    <s v="No"/>
    <x v="1"/>
    <s v="Dinner"/>
    <n v="2"/>
    <n v="19.82"/>
    <n v="3.18"/>
  </r>
  <r>
    <x v="1"/>
    <s v="No"/>
    <x v="1"/>
    <s v="Dinner"/>
    <n v="4"/>
    <n v="17.809999999999999"/>
    <n v="2.34"/>
  </r>
  <r>
    <x v="1"/>
    <s v="No"/>
    <x v="1"/>
    <s v="Dinner"/>
    <n v="2"/>
    <n v="13.37"/>
    <n v="2"/>
  </r>
  <r>
    <x v="1"/>
    <s v="No"/>
    <x v="1"/>
    <s v="Dinner"/>
    <n v="2"/>
    <n v="12.69"/>
    <n v="2"/>
  </r>
  <r>
    <x v="1"/>
    <s v="No"/>
    <x v="1"/>
    <s v="Dinner"/>
    <n v="2"/>
    <n v="21.7"/>
    <n v="4.3"/>
  </r>
  <r>
    <x v="0"/>
    <s v="No"/>
    <x v="1"/>
    <s v="Dinner"/>
    <n v="2"/>
    <n v="19.649999999999999"/>
    <n v="3"/>
  </r>
  <r>
    <x v="1"/>
    <s v="No"/>
    <x v="1"/>
    <s v="Dinner"/>
    <n v="2"/>
    <n v="9.5500000000000007"/>
    <n v="1.45"/>
  </r>
  <r>
    <x v="1"/>
    <s v="No"/>
    <x v="1"/>
    <s v="Dinner"/>
    <n v="4"/>
    <n v="18.350000000000001"/>
    <n v="2.5"/>
  </r>
  <r>
    <x v="0"/>
    <s v="No"/>
    <x v="1"/>
    <s v="Dinner"/>
    <n v="2"/>
    <n v="15.06"/>
    <n v="3"/>
  </r>
  <r>
    <x v="0"/>
    <s v="No"/>
    <x v="1"/>
    <s v="Dinner"/>
    <n v="4"/>
    <n v="20.69"/>
    <n v="2.4500000000000002"/>
  </r>
  <r>
    <x v="1"/>
    <s v="No"/>
    <x v="1"/>
    <s v="Dinner"/>
    <n v="2"/>
    <n v="17.78"/>
    <n v="3.27"/>
  </r>
  <r>
    <x v="1"/>
    <s v="No"/>
    <x v="1"/>
    <s v="Dinner"/>
    <n v="3"/>
    <n v="24.06"/>
    <n v="3.6"/>
  </r>
  <r>
    <x v="1"/>
    <s v="No"/>
    <x v="1"/>
    <s v="Dinner"/>
    <n v="3"/>
    <n v="16.309999999999999"/>
    <n v="2"/>
  </r>
  <r>
    <x v="0"/>
    <s v="No"/>
    <x v="1"/>
    <s v="Dinner"/>
    <n v="3"/>
    <n v="16.93"/>
    <n v="3.07"/>
  </r>
  <r>
    <x v="1"/>
    <s v="No"/>
    <x v="1"/>
    <s v="Dinner"/>
    <n v="3"/>
    <n v="18.690000000000001"/>
    <n v="2.31"/>
  </r>
  <r>
    <x v="1"/>
    <s v="No"/>
    <x v="1"/>
    <s v="Dinner"/>
    <n v="3"/>
    <n v="31.27"/>
    <n v="5"/>
  </r>
  <r>
    <x v="1"/>
    <s v="No"/>
    <x v="1"/>
    <s v="Dinner"/>
    <n v="3"/>
    <n v="16.04"/>
    <n v="2.2400000000000002"/>
  </r>
  <r>
    <x v="1"/>
    <s v="No"/>
    <x v="0"/>
    <s v="Dinner"/>
    <n v="2"/>
    <n v="17.46"/>
    <n v="2.54"/>
  </r>
  <r>
    <x v="1"/>
    <s v="No"/>
    <x v="0"/>
    <s v="Dinner"/>
    <n v="2"/>
    <n v="13.94"/>
    <n v="3.06"/>
  </r>
  <r>
    <x v="1"/>
    <s v="No"/>
    <x v="0"/>
    <s v="Dinner"/>
    <n v="2"/>
    <n v="9.68"/>
    <n v="1.32"/>
  </r>
  <r>
    <x v="1"/>
    <s v="No"/>
    <x v="0"/>
    <s v="Dinner"/>
    <n v="4"/>
    <n v="30.4"/>
    <n v="5.6"/>
  </r>
  <r>
    <x v="1"/>
    <s v="No"/>
    <x v="0"/>
    <s v="Dinner"/>
    <n v="2"/>
    <n v="18.29"/>
    <n v="3"/>
  </r>
  <r>
    <x v="1"/>
    <s v="No"/>
    <x v="0"/>
    <s v="Dinner"/>
    <n v="2"/>
    <n v="22.23"/>
    <n v="5"/>
  </r>
  <r>
    <x v="1"/>
    <s v="No"/>
    <x v="0"/>
    <s v="Dinner"/>
    <n v="4"/>
    <n v="32.4"/>
    <n v="6"/>
  </r>
  <r>
    <x v="1"/>
    <s v="No"/>
    <x v="0"/>
    <s v="Dinner"/>
    <n v="3"/>
    <n v="28.55"/>
    <n v="2.0499999999999998"/>
  </r>
  <r>
    <x v="1"/>
    <s v="No"/>
    <x v="0"/>
    <s v="Dinner"/>
    <n v="2"/>
    <n v="18.04"/>
    <n v="3"/>
  </r>
  <r>
    <x v="1"/>
    <s v="No"/>
    <x v="0"/>
    <s v="Dinner"/>
    <n v="2"/>
    <n v="12.54"/>
    <n v="2.5"/>
  </r>
  <r>
    <x v="0"/>
    <s v="No"/>
    <x v="0"/>
    <s v="Dinner"/>
    <n v="2"/>
    <n v="10.29"/>
    <n v="2.6"/>
  </r>
  <r>
    <x v="0"/>
    <s v="No"/>
    <x v="0"/>
    <s v="Dinner"/>
    <n v="4"/>
    <n v="34.81"/>
    <n v="5.2"/>
  </r>
  <r>
    <x v="1"/>
    <s v="No"/>
    <x v="0"/>
    <s v="Dinner"/>
    <n v="2"/>
    <n v="9.94"/>
    <n v="1.56"/>
  </r>
  <r>
    <x v="1"/>
    <s v="No"/>
    <x v="0"/>
    <s v="Dinner"/>
    <n v="4"/>
    <n v="25.56"/>
    <n v="4.34"/>
  </r>
  <r>
    <x v="1"/>
    <s v="No"/>
    <x v="0"/>
    <s v="Dinner"/>
    <n v="2"/>
    <n v="19.489999999999998"/>
    <n v="3.51"/>
  </r>
  <r>
    <x v="1"/>
    <s v="Yes"/>
    <x v="1"/>
    <s v="Dinner"/>
    <n v="4"/>
    <n v="38.01"/>
    <n v="3"/>
  </r>
  <r>
    <x v="0"/>
    <s v="No"/>
    <x v="1"/>
    <s v="Dinner"/>
    <n v="2"/>
    <n v="26.41"/>
    <n v="1.5"/>
  </r>
  <r>
    <x v="1"/>
    <s v="Yes"/>
    <x v="1"/>
    <s v="Dinner"/>
    <n v="2"/>
    <n v="11.24"/>
    <n v="1.76"/>
  </r>
  <r>
    <x v="1"/>
    <s v="No"/>
    <x v="1"/>
    <s v="Dinner"/>
    <n v="4"/>
    <n v="48.27"/>
    <n v="6.73"/>
  </r>
  <r>
    <x v="1"/>
    <s v="Yes"/>
    <x v="1"/>
    <s v="Dinner"/>
    <n v="2"/>
    <n v="20.29"/>
    <n v="3.21"/>
  </r>
  <r>
    <x v="1"/>
    <s v="Yes"/>
    <x v="1"/>
    <s v="Dinner"/>
    <n v="2"/>
    <n v="13.81"/>
    <n v="2"/>
  </r>
  <r>
    <x v="1"/>
    <s v="Yes"/>
    <x v="1"/>
    <s v="Dinner"/>
    <n v="2"/>
    <n v="11.02"/>
    <n v="1.98"/>
  </r>
  <r>
    <x v="1"/>
    <s v="Yes"/>
    <x v="1"/>
    <s v="Dinner"/>
    <n v="4"/>
    <n v="18.29"/>
    <n v="3.76"/>
  </r>
  <r>
    <x v="1"/>
    <s v="No"/>
    <x v="1"/>
    <s v="Dinner"/>
    <n v="3"/>
    <n v="17.59"/>
    <n v="2.64"/>
  </r>
  <r>
    <x v="1"/>
    <s v="No"/>
    <x v="1"/>
    <s v="Dinner"/>
    <n v="3"/>
    <n v="20.079999999999998"/>
    <n v="3.15"/>
  </r>
  <r>
    <x v="0"/>
    <s v="No"/>
    <x v="1"/>
    <s v="Dinner"/>
    <n v="2"/>
    <n v="16.45"/>
    <n v="2.4700000000000002"/>
  </r>
  <r>
    <x v="0"/>
    <s v="Yes"/>
    <x v="1"/>
    <s v="Dinner"/>
    <n v="1"/>
    <n v="3.07"/>
    <n v="1"/>
  </r>
  <r>
    <x v="1"/>
    <s v="No"/>
    <x v="1"/>
    <s v="Dinner"/>
    <n v="2"/>
    <n v="20.23"/>
    <n v="2.0099999999999998"/>
  </r>
  <r>
    <x v="1"/>
    <s v="Yes"/>
    <x v="1"/>
    <s v="Dinner"/>
    <n v="2"/>
    <n v="15.01"/>
    <n v="2.09"/>
  </r>
  <r>
    <x v="1"/>
    <s v="No"/>
    <x v="1"/>
    <s v="Dinner"/>
    <n v="2"/>
    <n v="12.02"/>
    <n v="1.97"/>
  </r>
  <r>
    <x v="0"/>
    <s v="No"/>
    <x v="1"/>
    <s v="Dinner"/>
    <n v="3"/>
    <n v="17.07"/>
    <n v="3"/>
  </r>
  <r>
    <x v="0"/>
    <s v="Yes"/>
    <x v="1"/>
    <s v="Dinner"/>
    <n v="2"/>
    <n v="26.86"/>
    <n v="3.14"/>
  </r>
  <r>
    <x v="0"/>
    <s v="Yes"/>
    <x v="1"/>
    <s v="Dinner"/>
    <n v="2"/>
    <n v="25.28"/>
    <n v="5"/>
  </r>
  <r>
    <x v="0"/>
    <s v="No"/>
    <x v="1"/>
    <s v="Dinner"/>
    <n v="2"/>
    <n v="14.73"/>
    <n v="2.2000000000000002"/>
  </r>
  <r>
    <x v="1"/>
    <s v="No"/>
    <x v="1"/>
    <s v="Dinner"/>
    <n v="2"/>
    <n v="10.51"/>
    <n v="1.25"/>
  </r>
  <r>
    <x v="1"/>
    <s v="Yes"/>
    <x v="1"/>
    <s v="Dinner"/>
    <n v="2"/>
    <n v="17.920000000000002"/>
    <n v="3.08"/>
  </r>
  <r>
    <x v="1"/>
    <s v="No"/>
    <x v="2"/>
    <s v="Lunch"/>
    <n v="4"/>
    <n v="27.2"/>
    <n v="4"/>
  </r>
  <r>
    <x v="1"/>
    <s v="No"/>
    <x v="2"/>
    <s v="Lunch"/>
    <n v="2"/>
    <n v="22.76"/>
    <n v="3"/>
  </r>
  <r>
    <x v="1"/>
    <s v="No"/>
    <x v="2"/>
    <s v="Lunch"/>
    <n v="2"/>
    <n v="17.29"/>
    <n v="2.71"/>
  </r>
  <r>
    <x v="1"/>
    <s v="Yes"/>
    <x v="2"/>
    <s v="Lunch"/>
    <n v="2"/>
    <n v="19.440000000000001"/>
    <n v="3"/>
  </r>
  <r>
    <x v="1"/>
    <s v="No"/>
    <x v="2"/>
    <s v="Lunch"/>
    <n v="2"/>
    <n v="16.66"/>
    <n v="3.4"/>
  </r>
  <r>
    <x v="0"/>
    <s v="No"/>
    <x v="2"/>
    <s v="Lunch"/>
    <n v="1"/>
    <n v="10.07"/>
    <n v="1.83"/>
  </r>
  <r>
    <x v="1"/>
    <s v="Yes"/>
    <x v="2"/>
    <s v="Lunch"/>
    <n v="2"/>
    <n v="32.68"/>
    <n v="5"/>
  </r>
  <r>
    <x v="1"/>
    <s v="No"/>
    <x v="2"/>
    <s v="Lunch"/>
    <n v="2"/>
    <n v="15.98"/>
    <n v="2.0299999999999998"/>
  </r>
  <r>
    <x v="0"/>
    <s v="No"/>
    <x v="2"/>
    <s v="Lunch"/>
    <n v="4"/>
    <n v="34.83"/>
    <n v="5.17"/>
  </r>
  <r>
    <x v="1"/>
    <s v="No"/>
    <x v="2"/>
    <s v="Lunch"/>
    <n v="2"/>
    <n v="13.03"/>
    <n v="2"/>
  </r>
  <r>
    <x v="1"/>
    <s v="No"/>
    <x v="2"/>
    <s v="Lunch"/>
    <n v="2"/>
    <n v="18.28"/>
    <n v="4"/>
  </r>
  <r>
    <x v="1"/>
    <s v="No"/>
    <x v="2"/>
    <s v="Lunch"/>
    <n v="2"/>
    <n v="24.71"/>
    <n v="5.85"/>
  </r>
  <r>
    <x v="1"/>
    <s v="No"/>
    <x v="2"/>
    <s v="Lunch"/>
    <n v="2"/>
    <n v="21.16"/>
    <n v="3"/>
  </r>
  <r>
    <x v="1"/>
    <s v="Yes"/>
    <x v="3"/>
    <s v="Dinner"/>
    <n v="2"/>
    <n v="28.97"/>
    <n v="3"/>
  </r>
  <r>
    <x v="1"/>
    <s v="No"/>
    <x v="3"/>
    <s v="Dinner"/>
    <n v="2"/>
    <n v="22.49"/>
    <n v="3.5"/>
  </r>
  <r>
    <x v="0"/>
    <s v="Yes"/>
    <x v="3"/>
    <s v="Dinner"/>
    <n v="2"/>
    <n v="5.75"/>
    <n v="1"/>
  </r>
  <r>
    <x v="0"/>
    <s v="Yes"/>
    <x v="3"/>
    <s v="Dinner"/>
    <n v="2"/>
    <n v="16.32"/>
    <n v="4.3"/>
  </r>
  <r>
    <x v="0"/>
    <s v="No"/>
    <x v="3"/>
    <s v="Dinner"/>
    <n v="2"/>
    <n v="22.75"/>
    <n v="3.25"/>
  </r>
  <r>
    <x v="1"/>
    <s v="Yes"/>
    <x v="3"/>
    <s v="Dinner"/>
    <n v="4"/>
    <n v="40.17"/>
    <n v="4.7300000000000004"/>
  </r>
  <r>
    <x v="1"/>
    <s v="Yes"/>
    <x v="3"/>
    <s v="Dinner"/>
    <n v="2"/>
    <n v="27.28"/>
    <n v="4"/>
  </r>
  <r>
    <x v="1"/>
    <s v="Yes"/>
    <x v="3"/>
    <s v="Dinner"/>
    <n v="2"/>
    <n v="12.03"/>
    <n v="1.5"/>
  </r>
  <r>
    <x v="1"/>
    <s v="Yes"/>
    <x v="3"/>
    <s v="Dinner"/>
    <n v="2"/>
    <n v="21.01"/>
    <n v="3"/>
  </r>
  <r>
    <x v="1"/>
    <s v="No"/>
    <x v="3"/>
    <s v="Dinner"/>
    <n v="2"/>
    <n v="12.46"/>
    <n v="1.5"/>
  </r>
  <r>
    <x v="0"/>
    <s v="Yes"/>
    <x v="3"/>
    <s v="Dinner"/>
    <n v="2"/>
    <n v="11.35"/>
    <n v="2.5"/>
  </r>
  <r>
    <x v="0"/>
    <s v="Yes"/>
    <x v="3"/>
    <s v="Dinner"/>
    <n v="2"/>
    <n v="15.38"/>
    <n v="3"/>
  </r>
  <r>
    <x v="0"/>
    <s v="Yes"/>
    <x v="1"/>
    <s v="Dinner"/>
    <n v="3"/>
    <n v="44.3"/>
    <n v="2.5"/>
  </r>
  <r>
    <x v="0"/>
    <s v="Yes"/>
    <x v="1"/>
    <s v="Dinner"/>
    <n v="2"/>
    <n v="22.42"/>
    <n v="3.48"/>
  </r>
  <r>
    <x v="0"/>
    <s v="No"/>
    <x v="1"/>
    <s v="Dinner"/>
    <n v="2"/>
    <n v="20.92"/>
    <n v="4.08"/>
  </r>
  <r>
    <x v="1"/>
    <s v="Yes"/>
    <x v="1"/>
    <s v="Dinner"/>
    <n v="2"/>
    <n v="15.36"/>
    <n v="1.64"/>
  </r>
  <r>
    <x v="1"/>
    <s v="Yes"/>
    <x v="1"/>
    <s v="Dinner"/>
    <n v="2"/>
    <n v="20.49"/>
    <n v="4.0599999999999996"/>
  </r>
  <r>
    <x v="1"/>
    <s v="Yes"/>
    <x v="1"/>
    <s v="Dinner"/>
    <n v="2"/>
    <n v="25.21"/>
    <n v="4.29"/>
  </r>
  <r>
    <x v="1"/>
    <s v="No"/>
    <x v="1"/>
    <s v="Dinner"/>
    <n v="2"/>
    <n v="18.239999999999998"/>
    <n v="3.76"/>
  </r>
  <r>
    <x v="0"/>
    <s v="Yes"/>
    <x v="1"/>
    <s v="Dinner"/>
    <n v="2"/>
    <n v="14.31"/>
    <n v="4"/>
  </r>
  <r>
    <x v="1"/>
    <s v="No"/>
    <x v="1"/>
    <s v="Dinner"/>
    <n v="2"/>
    <n v="14"/>
    <n v="3"/>
  </r>
  <r>
    <x v="0"/>
    <s v="No"/>
    <x v="1"/>
    <s v="Dinner"/>
    <n v="1"/>
    <n v="7.25"/>
    <n v="1"/>
  </r>
  <r>
    <x v="1"/>
    <s v="No"/>
    <x v="0"/>
    <s v="Dinner"/>
    <n v="3"/>
    <n v="38.07"/>
    <n v="4"/>
  </r>
  <r>
    <x v="1"/>
    <s v="No"/>
    <x v="0"/>
    <s v="Dinner"/>
    <n v="2"/>
    <n v="23.95"/>
    <n v="2.5499999999999998"/>
  </r>
  <r>
    <x v="0"/>
    <s v="No"/>
    <x v="0"/>
    <s v="Dinner"/>
    <n v="3"/>
    <n v="25.71"/>
    <n v="4"/>
  </r>
  <r>
    <x v="0"/>
    <s v="No"/>
    <x v="0"/>
    <s v="Dinner"/>
    <n v="2"/>
    <n v="17.309999999999999"/>
    <n v="3.5"/>
  </r>
  <r>
    <x v="1"/>
    <s v="No"/>
    <x v="0"/>
    <s v="Dinner"/>
    <n v="4"/>
    <n v="29.93"/>
    <n v="5.07"/>
  </r>
  <r>
    <x v="0"/>
    <s v="No"/>
    <x v="2"/>
    <s v="Lunch"/>
    <n v="2"/>
    <n v="10.65"/>
    <n v="1.5"/>
  </r>
  <r>
    <x v="0"/>
    <s v="No"/>
    <x v="2"/>
    <s v="Lunch"/>
    <n v="2"/>
    <n v="12.43"/>
    <n v="1.8"/>
  </r>
  <r>
    <x v="0"/>
    <s v="No"/>
    <x v="2"/>
    <s v="Lunch"/>
    <n v="4"/>
    <n v="24.08"/>
    <n v="2.92"/>
  </r>
  <r>
    <x v="1"/>
    <s v="No"/>
    <x v="2"/>
    <s v="Lunch"/>
    <n v="2"/>
    <n v="11.69"/>
    <n v="2.31"/>
  </r>
  <r>
    <x v="0"/>
    <s v="No"/>
    <x v="2"/>
    <s v="Lunch"/>
    <n v="2"/>
    <n v="13.42"/>
    <n v="1.68"/>
  </r>
  <r>
    <x v="1"/>
    <s v="No"/>
    <x v="2"/>
    <s v="Lunch"/>
    <n v="2"/>
    <n v="14.26"/>
    <n v="2.5"/>
  </r>
  <r>
    <x v="1"/>
    <s v="No"/>
    <x v="2"/>
    <s v="Lunch"/>
    <n v="2"/>
    <n v="15.95"/>
    <n v="2"/>
  </r>
  <r>
    <x v="0"/>
    <s v="No"/>
    <x v="2"/>
    <s v="Lunch"/>
    <n v="2"/>
    <n v="12.48"/>
    <n v="2.52"/>
  </r>
  <r>
    <x v="0"/>
    <s v="No"/>
    <x v="2"/>
    <s v="Lunch"/>
    <n v="6"/>
    <n v="29.8"/>
    <n v="4.2"/>
  </r>
  <r>
    <x v="1"/>
    <s v="No"/>
    <x v="2"/>
    <s v="Lunch"/>
    <n v="2"/>
    <n v="8.52"/>
    <n v="1.48"/>
  </r>
  <r>
    <x v="0"/>
    <s v="No"/>
    <x v="2"/>
    <s v="Lunch"/>
    <n v="2"/>
    <n v="14.52"/>
    <n v="2"/>
  </r>
  <r>
    <x v="0"/>
    <s v="No"/>
    <x v="2"/>
    <s v="Lunch"/>
    <n v="2"/>
    <n v="11.38"/>
    <n v="2"/>
  </r>
  <r>
    <x v="1"/>
    <s v="No"/>
    <x v="2"/>
    <s v="Lunch"/>
    <n v="3"/>
    <n v="22.82"/>
    <n v="2.1800000000000002"/>
  </r>
  <r>
    <x v="1"/>
    <s v="No"/>
    <x v="2"/>
    <s v="Lunch"/>
    <n v="2"/>
    <n v="19.079999999999998"/>
    <n v="1.5"/>
  </r>
  <r>
    <x v="0"/>
    <s v="No"/>
    <x v="2"/>
    <s v="Lunch"/>
    <n v="2"/>
    <n v="20.27"/>
    <n v="2.83"/>
  </r>
  <r>
    <x v="0"/>
    <s v="No"/>
    <x v="2"/>
    <s v="Lunch"/>
    <n v="2"/>
    <n v="11.17"/>
    <n v="1.5"/>
  </r>
  <r>
    <x v="0"/>
    <s v="No"/>
    <x v="2"/>
    <s v="Lunch"/>
    <n v="2"/>
    <n v="12.26"/>
    <n v="2"/>
  </r>
  <r>
    <x v="0"/>
    <s v="No"/>
    <x v="2"/>
    <s v="Lunch"/>
    <n v="2"/>
    <n v="18.260000000000002"/>
    <n v="3.25"/>
  </r>
  <r>
    <x v="0"/>
    <s v="No"/>
    <x v="2"/>
    <s v="Lunch"/>
    <n v="2"/>
    <n v="8.51"/>
    <n v="1.25"/>
  </r>
  <r>
    <x v="0"/>
    <s v="No"/>
    <x v="2"/>
    <s v="Lunch"/>
    <n v="2"/>
    <n v="10.33"/>
    <n v="2"/>
  </r>
  <r>
    <x v="0"/>
    <s v="No"/>
    <x v="2"/>
    <s v="Lunch"/>
    <n v="2"/>
    <n v="14.15"/>
    <n v="2"/>
  </r>
  <r>
    <x v="1"/>
    <s v="Yes"/>
    <x v="2"/>
    <s v="Lunch"/>
    <n v="2"/>
    <n v="16"/>
    <n v="2"/>
  </r>
  <r>
    <x v="0"/>
    <s v="No"/>
    <x v="2"/>
    <s v="Lunch"/>
    <n v="2"/>
    <n v="13.16"/>
    <n v="2.75"/>
  </r>
  <r>
    <x v="0"/>
    <s v="No"/>
    <x v="2"/>
    <s v="Lunch"/>
    <n v="2"/>
    <n v="17.47"/>
    <n v="3.5"/>
  </r>
  <r>
    <x v="1"/>
    <s v="No"/>
    <x v="2"/>
    <s v="Lunch"/>
    <n v="6"/>
    <n v="34.299999999999997"/>
    <n v="6.7"/>
  </r>
  <r>
    <x v="1"/>
    <s v="No"/>
    <x v="2"/>
    <s v="Lunch"/>
    <n v="5"/>
    <n v="41.19"/>
    <n v="5"/>
  </r>
  <r>
    <x v="0"/>
    <s v="No"/>
    <x v="2"/>
    <s v="Lunch"/>
    <n v="6"/>
    <n v="27.05"/>
    <n v="5"/>
  </r>
  <r>
    <x v="0"/>
    <s v="No"/>
    <x v="2"/>
    <s v="Lunch"/>
    <n v="2"/>
    <n v="16.43"/>
    <n v="2.2999999999999998"/>
  </r>
  <r>
    <x v="0"/>
    <s v="No"/>
    <x v="2"/>
    <s v="Lunch"/>
    <n v="2"/>
    <n v="8.35"/>
    <n v="1.5"/>
  </r>
  <r>
    <x v="0"/>
    <s v="No"/>
    <x v="2"/>
    <s v="Lunch"/>
    <n v="3"/>
    <n v="18.64"/>
    <n v="1.36"/>
  </r>
  <r>
    <x v="0"/>
    <s v="No"/>
    <x v="2"/>
    <s v="Lunch"/>
    <n v="2"/>
    <n v="11.87"/>
    <n v="1.63"/>
  </r>
  <r>
    <x v="1"/>
    <s v="No"/>
    <x v="2"/>
    <s v="Lunch"/>
    <n v="2"/>
    <n v="9.7799999999999994"/>
    <n v="1.73"/>
  </r>
  <r>
    <x v="1"/>
    <s v="No"/>
    <x v="2"/>
    <s v="Lunch"/>
    <n v="2"/>
    <n v="7.51"/>
    <n v="2"/>
  </r>
  <r>
    <x v="1"/>
    <s v="No"/>
    <x v="0"/>
    <s v="Dinner"/>
    <n v="2"/>
    <n v="14.07"/>
    <n v="2.5"/>
  </r>
  <r>
    <x v="1"/>
    <s v="No"/>
    <x v="0"/>
    <s v="Dinner"/>
    <n v="2"/>
    <n v="13.13"/>
    <n v="2"/>
  </r>
  <r>
    <x v="1"/>
    <s v="No"/>
    <x v="0"/>
    <s v="Dinner"/>
    <n v="3"/>
    <n v="17.260000000000002"/>
    <n v="2.74"/>
  </r>
  <r>
    <x v="1"/>
    <s v="No"/>
    <x v="0"/>
    <s v="Dinner"/>
    <n v="4"/>
    <n v="24.55"/>
    <n v="2"/>
  </r>
  <r>
    <x v="1"/>
    <s v="No"/>
    <x v="0"/>
    <s v="Dinner"/>
    <n v="4"/>
    <n v="19.77"/>
    <n v="2"/>
  </r>
  <r>
    <x v="0"/>
    <s v="No"/>
    <x v="0"/>
    <s v="Dinner"/>
    <n v="5"/>
    <n v="29.85"/>
    <n v="5.14"/>
  </r>
  <r>
    <x v="1"/>
    <s v="No"/>
    <x v="0"/>
    <s v="Dinner"/>
    <n v="6"/>
    <n v="48.17"/>
    <n v="5"/>
  </r>
  <r>
    <x v="0"/>
    <s v="No"/>
    <x v="0"/>
    <s v="Dinner"/>
    <n v="4"/>
    <n v="25"/>
    <n v="3.75"/>
  </r>
  <r>
    <x v="0"/>
    <s v="No"/>
    <x v="0"/>
    <s v="Dinner"/>
    <n v="2"/>
    <n v="13.39"/>
    <n v="2.61"/>
  </r>
  <r>
    <x v="1"/>
    <s v="No"/>
    <x v="0"/>
    <s v="Dinner"/>
    <n v="4"/>
    <n v="16.489999999999998"/>
    <n v="2"/>
  </r>
  <r>
    <x v="1"/>
    <s v="No"/>
    <x v="0"/>
    <s v="Dinner"/>
    <n v="4"/>
    <n v="21.5"/>
    <n v="3.5"/>
  </r>
  <r>
    <x v="1"/>
    <s v="No"/>
    <x v="0"/>
    <s v="Dinner"/>
    <n v="2"/>
    <n v="12.66"/>
    <n v="2.5"/>
  </r>
  <r>
    <x v="0"/>
    <s v="No"/>
    <x v="0"/>
    <s v="Dinner"/>
    <n v="3"/>
    <n v="16.21"/>
    <n v="2"/>
  </r>
  <r>
    <x v="1"/>
    <s v="No"/>
    <x v="0"/>
    <s v="Dinner"/>
    <n v="2"/>
    <n v="13.81"/>
    <n v="2"/>
  </r>
  <r>
    <x v="0"/>
    <s v="Yes"/>
    <x v="0"/>
    <s v="Dinner"/>
    <n v="2"/>
    <n v="17.510000000000002"/>
    <n v="3"/>
  </r>
  <r>
    <x v="1"/>
    <s v="No"/>
    <x v="0"/>
    <s v="Dinner"/>
    <n v="3"/>
    <n v="24.52"/>
    <n v="3.48"/>
  </r>
  <r>
    <x v="1"/>
    <s v="No"/>
    <x v="0"/>
    <s v="Dinner"/>
    <n v="2"/>
    <n v="20.76"/>
    <n v="2.2400000000000002"/>
  </r>
  <r>
    <x v="1"/>
    <s v="No"/>
    <x v="0"/>
    <s v="Dinner"/>
    <n v="4"/>
    <n v="31.71"/>
    <n v="4.5"/>
  </r>
  <r>
    <x v="0"/>
    <s v="Yes"/>
    <x v="1"/>
    <s v="Dinner"/>
    <n v="2"/>
    <n v="10.59"/>
    <n v="1.61"/>
  </r>
  <r>
    <x v="0"/>
    <s v="Yes"/>
    <x v="1"/>
    <s v="Dinner"/>
    <n v="2"/>
    <n v="10.63"/>
    <n v="2"/>
  </r>
  <r>
    <x v="1"/>
    <s v="Yes"/>
    <x v="1"/>
    <s v="Dinner"/>
    <n v="3"/>
    <n v="50.81"/>
    <n v="10"/>
  </r>
  <r>
    <x v="1"/>
    <s v="Yes"/>
    <x v="1"/>
    <s v="Dinner"/>
    <n v="2"/>
    <n v="15.81"/>
    <n v="3.16"/>
  </r>
  <r>
    <x v="1"/>
    <s v="Yes"/>
    <x v="0"/>
    <s v="Dinner"/>
    <n v="2"/>
    <n v="7.25"/>
    <n v="5.15"/>
  </r>
  <r>
    <x v="1"/>
    <s v="Yes"/>
    <x v="0"/>
    <s v="Dinner"/>
    <n v="2"/>
    <n v="31.85"/>
    <n v="3.18"/>
  </r>
  <r>
    <x v="1"/>
    <s v="Yes"/>
    <x v="0"/>
    <s v="Dinner"/>
    <n v="2"/>
    <n v="16.82"/>
    <n v="4"/>
  </r>
  <r>
    <x v="1"/>
    <s v="Yes"/>
    <x v="0"/>
    <s v="Dinner"/>
    <n v="2"/>
    <n v="32.9"/>
    <n v="3.11"/>
  </r>
  <r>
    <x v="1"/>
    <s v="Yes"/>
    <x v="0"/>
    <s v="Dinner"/>
    <n v="2"/>
    <n v="17.89"/>
    <n v="2"/>
  </r>
  <r>
    <x v="1"/>
    <s v="Yes"/>
    <x v="0"/>
    <s v="Dinner"/>
    <n v="2"/>
    <n v="14.48"/>
    <n v="2"/>
  </r>
  <r>
    <x v="0"/>
    <s v="Yes"/>
    <x v="0"/>
    <s v="Dinner"/>
    <n v="2"/>
    <n v="9.6"/>
    <n v="4"/>
  </r>
  <r>
    <x v="1"/>
    <s v="Yes"/>
    <x v="0"/>
    <s v="Dinner"/>
    <n v="2"/>
    <n v="34.630000000000003"/>
    <n v="3.55"/>
  </r>
  <r>
    <x v="1"/>
    <s v="Yes"/>
    <x v="0"/>
    <s v="Dinner"/>
    <n v="4"/>
    <n v="34.65"/>
    <n v="3.68"/>
  </r>
  <r>
    <x v="1"/>
    <s v="Yes"/>
    <x v="0"/>
    <s v="Dinner"/>
    <n v="2"/>
    <n v="23.33"/>
    <n v="5.65"/>
  </r>
  <r>
    <x v="1"/>
    <s v="Yes"/>
    <x v="0"/>
    <s v="Dinner"/>
    <n v="3"/>
    <n v="45.35"/>
    <n v="3.5"/>
  </r>
  <r>
    <x v="1"/>
    <s v="Yes"/>
    <x v="0"/>
    <s v="Dinner"/>
    <n v="4"/>
    <n v="23.17"/>
    <n v="6.5"/>
  </r>
  <r>
    <x v="1"/>
    <s v="Yes"/>
    <x v="0"/>
    <s v="Dinner"/>
    <n v="2"/>
    <n v="40.549999999999997"/>
    <n v="3"/>
  </r>
  <r>
    <x v="1"/>
    <s v="No"/>
    <x v="0"/>
    <s v="Dinner"/>
    <n v="5"/>
    <n v="20.69"/>
    <n v="5"/>
  </r>
  <r>
    <x v="0"/>
    <s v="Yes"/>
    <x v="0"/>
    <s v="Dinner"/>
    <n v="3"/>
    <n v="20.9"/>
    <n v="3.5"/>
  </r>
  <r>
    <x v="1"/>
    <s v="Yes"/>
    <x v="0"/>
    <s v="Dinner"/>
    <n v="5"/>
    <n v="30.46"/>
    <n v="2"/>
  </r>
  <r>
    <x v="0"/>
    <s v="Yes"/>
    <x v="0"/>
    <s v="Dinner"/>
    <n v="3"/>
    <n v="18.149999999999999"/>
    <n v="3.5"/>
  </r>
  <r>
    <x v="1"/>
    <s v="Yes"/>
    <x v="0"/>
    <s v="Dinner"/>
    <n v="3"/>
    <n v="23.1"/>
    <n v="4"/>
  </r>
  <r>
    <x v="1"/>
    <s v="Yes"/>
    <x v="0"/>
    <s v="Dinner"/>
    <n v="2"/>
    <n v="15.69"/>
    <n v="1.5"/>
  </r>
  <r>
    <x v="0"/>
    <s v="Yes"/>
    <x v="2"/>
    <s v="Lunch"/>
    <n v="2"/>
    <n v="19.809999999999999"/>
    <n v="4.1900000000000004"/>
  </r>
  <r>
    <x v="1"/>
    <s v="Yes"/>
    <x v="2"/>
    <s v="Lunch"/>
    <n v="2"/>
    <n v="28.44"/>
    <n v="2.56"/>
  </r>
  <r>
    <x v="1"/>
    <s v="Yes"/>
    <x v="2"/>
    <s v="Lunch"/>
    <n v="2"/>
    <n v="15.48"/>
    <n v="2.02"/>
  </r>
  <r>
    <x v="1"/>
    <s v="Yes"/>
    <x v="2"/>
    <s v="Lunch"/>
    <n v="2"/>
    <n v="16.579999999999998"/>
    <n v="4"/>
  </r>
  <r>
    <x v="1"/>
    <s v="No"/>
    <x v="2"/>
    <s v="Lunch"/>
    <n v="2"/>
    <n v="7.56"/>
    <n v="1.44"/>
  </r>
  <r>
    <x v="1"/>
    <s v="Yes"/>
    <x v="2"/>
    <s v="Lunch"/>
    <n v="2"/>
    <n v="10.34"/>
    <n v="2"/>
  </r>
  <r>
    <x v="0"/>
    <s v="Yes"/>
    <x v="2"/>
    <s v="Lunch"/>
    <n v="4"/>
    <n v="43.11"/>
    <n v="5"/>
  </r>
  <r>
    <x v="0"/>
    <s v="Yes"/>
    <x v="2"/>
    <s v="Lunch"/>
    <n v="2"/>
    <n v="13"/>
    <n v="2"/>
  </r>
  <r>
    <x v="1"/>
    <s v="Yes"/>
    <x v="2"/>
    <s v="Lunch"/>
    <n v="2"/>
    <n v="13.51"/>
    <n v="2"/>
  </r>
  <r>
    <x v="1"/>
    <s v="Yes"/>
    <x v="2"/>
    <s v="Lunch"/>
    <n v="3"/>
    <n v="18.71"/>
    <n v="4"/>
  </r>
  <r>
    <x v="0"/>
    <s v="Yes"/>
    <x v="2"/>
    <s v="Lunch"/>
    <n v="2"/>
    <n v="12.74"/>
    <n v="2.0099999999999998"/>
  </r>
  <r>
    <x v="0"/>
    <s v="Yes"/>
    <x v="2"/>
    <s v="Lunch"/>
    <n v="2"/>
    <n v="16.399999999999999"/>
    <n v="2.5"/>
  </r>
  <r>
    <x v="1"/>
    <s v="Yes"/>
    <x v="2"/>
    <s v="Lunch"/>
    <n v="4"/>
    <n v="20.53"/>
    <n v="4"/>
  </r>
  <r>
    <x v="0"/>
    <s v="Yes"/>
    <x v="2"/>
    <s v="Lunch"/>
    <n v="3"/>
    <n v="16.47"/>
    <n v="3.23"/>
  </r>
  <r>
    <x v="1"/>
    <s v="Yes"/>
    <x v="1"/>
    <s v="Dinner"/>
    <n v="3"/>
    <n v="26.59"/>
    <n v="3.41"/>
  </r>
  <r>
    <x v="1"/>
    <s v="Yes"/>
    <x v="1"/>
    <s v="Dinner"/>
    <n v="4"/>
    <n v="38.729999999999997"/>
    <n v="3"/>
  </r>
  <r>
    <x v="1"/>
    <s v="Yes"/>
    <x v="1"/>
    <s v="Dinner"/>
    <n v="2"/>
    <n v="24.27"/>
    <n v="2.0299999999999998"/>
  </r>
  <r>
    <x v="0"/>
    <s v="Yes"/>
    <x v="1"/>
    <s v="Dinner"/>
    <n v="2"/>
    <n v="12.76"/>
    <n v="2.23"/>
  </r>
  <r>
    <x v="1"/>
    <s v="Yes"/>
    <x v="1"/>
    <s v="Dinner"/>
    <n v="3"/>
    <n v="30.06"/>
    <n v="2"/>
  </r>
  <r>
    <x v="1"/>
    <s v="Yes"/>
    <x v="1"/>
    <s v="Dinner"/>
    <n v="4"/>
    <n v="25.89"/>
    <n v="5.16"/>
  </r>
  <r>
    <x v="1"/>
    <s v="No"/>
    <x v="1"/>
    <s v="Dinner"/>
    <n v="4"/>
    <n v="48.33"/>
    <n v="9"/>
  </r>
  <r>
    <x v="0"/>
    <s v="Yes"/>
    <x v="1"/>
    <s v="Dinner"/>
    <n v="2"/>
    <n v="13.27"/>
    <n v="2.5"/>
  </r>
  <r>
    <x v="0"/>
    <s v="Yes"/>
    <x v="1"/>
    <s v="Dinner"/>
    <n v="3"/>
    <n v="28.17"/>
    <n v="6.5"/>
  </r>
  <r>
    <x v="0"/>
    <s v="Yes"/>
    <x v="1"/>
    <s v="Dinner"/>
    <n v="2"/>
    <n v="12.9"/>
    <n v="1.1000000000000001"/>
  </r>
  <r>
    <x v="1"/>
    <s v="Yes"/>
    <x v="1"/>
    <s v="Dinner"/>
    <n v="5"/>
    <n v="28.15"/>
    <n v="3"/>
  </r>
  <r>
    <x v="1"/>
    <s v="Yes"/>
    <x v="1"/>
    <s v="Dinner"/>
    <n v="2"/>
    <n v="11.59"/>
    <n v="1.5"/>
  </r>
  <r>
    <x v="1"/>
    <s v="Yes"/>
    <x v="1"/>
    <s v="Dinner"/>
    <n v="2"/>
    <n v="7.74"/>
    <n v="1.44"/>
  </r>
  <r>
    <x v="0"/>
    <s v="Yes"/>
    <x v="1"/>
    <s v="Dinner"/>
    <n v="4"/>
    <n v="30.14"/>
    <n v="3.09"/>
  </r>
  <r>
    <x v="1"/>
    <s v="Yes"/>
    <x v="3"/>
    <s v="Lunch"/>
    <n v="2"/>
    <n v="12.16"/>
    <n v="2.2000000000000002"/>
  </r>
  <r>
    <x v="0"/>
    <s v="Yes"/>
    <x v="3"/>
    <s v="Lunch"/>
    <n v="2"/>
    <n v="13.42"/>
    <n v="3.48"/>
  </r>
  <r>
    <x v="1"/>
    <s v="Yes"/>
    <x v="3"/>
    <s v="Lunch"/>
    <n v="1"/>
    <n v="8.58"/>
    <n v="1.92"/>
  </r>
  <r>
    <x v="0"/>
    <s v="No"/>
    <x v="3"/>
    <s v="Lunch"/>
    <n v="3"/>
    <n v="15.98"/>
    <n v="3"/>
  </r>
  <r>
    <x v="1"/>
    <s v="Yes"/>
    <x v="3"/>
    <s v="Lunch"/>
    <n v="2"/>
    <n v="13.42"/>
    <n v="1.58"/>
  </r>
  <r>
    <x v="0"/>
    <s v="Yes"/>
    <x v="3"/>
    <s v="Lunch"/>
    <n v="2"/>
    <n v="16.27"/>
    <n v="2.5"/>
  </r>
  <r>
    <x v="0"/>
    <s v="Yes"/>
    <x v="3"/>
    <s v="Lunch"/>
    <n v="2"/>
    <n v="10.09"/>
    <n v="2"/>
  </r>
  <r>
    <x v="1"/>
    <s v="No"/>
    <x v="1"/>
    <s v="Dinner"/>
    <n v="4"/>
    <n v="20.45"/>
    <n v="3"/>
  </r>
  <r>
    <x v="1"/>
    <s v="No"/>
    <x v="1"/>
    <s v="Dinner"/>
    <n v="2"/>
    <n v="13.28"/>
    <n v="2.72"/>
  </r>
  <r>
    <x v="0"/>
    <s v="Yes"/>
    <x v="1"/>
    <s v="Dinner"/>
    <n v="2"/>
    <n v="22.12"/>
    <n v="2.88"/>
  </r>
  <r>
    <x v="1"/>
    <s v="Yes"/>
    <x v="1"/>
    <s v="Dinner"/>
    <n v="4"/>
    <n v="24.01"/>
    <n v="2"/>
  </r>
  <r>
    <x v="1"/>
    <s v="Yes"/>
    <x v="1"/>
    <s v="Dinner"/>
    <n v="3"/>
    <n v="15.69"/>
    <n v="3"/>
  </r>
  <r>
    <x v="1"/>
    <s v="No"/>
    <x v="1"/>
    <s v="Dinner"/>
    <n v="2"/>
    <n v="11.61"/>
    <n v="3.39"/>
  </r>
  <r>
    <x v="1"/>
    <s v="No"/>
    <x v="1"/>
    <s v="Dinner"/>
    <n v="2"/>
    <n v="10.77"/>
    <n v="1.47"/>
  </r>
  <r>
    <x v="1"/>
    <s v="Yes"/>
    <x v="1"/>
    <s v="Dinner"/>
    <n v="2"/>
    <n v="15.53"/>
    <n v="3"/>
  </r>
  <r>
    <x v="1"/>
    <s v="No"/>
    <x v="1"/>
    <s v="Dinner"/>
    <n v="2"/>
    <n v="10.07"/>
    <n v="1.25"/>
  </r>
  <r>
    <x v="1"/>
    <s v="Yes"/>
    <x v="1"/>
    <s v="Dinner"/>
    <n v="2"/>
    <n v="12.6"/>
    <n v="1"/>
  </r>
  <r>
    <x v="1"/>
    <s v="Yes"/>
    <x v="1"/>
    <s v="Dinner"/>
    <n v="2"/>
    <n v="32.83"/>
    <n v="1.17"/>
  </r>
  <r>
    <x v="0"/>
    <s v="No"/>
    <x v="1"/>
    <s v="Dinner"/>
    <n v="3"/>
    <n v="35.83"/>
    <n v="4.67"/>
  </r>
  <r>
    <x v="1"/>
    <s v="No"/>
    <x v="1"/>
    <s v="Dinner"/>
    <n v="3"/>
    <n v="29.03"/>
    <n v="5.92"/>
  </r>
  <r>
    <x v="0"/>
    <s v="Yes"/>
    <x v="1"/>
    <s v="Dinner"/>
    <n v="2"/>
    <n v="27.18"/>
    <n v="2"/>
  </r>
  <r>
    <x v="1"/>
    <s v="Yes"/>
    <x v="1"/>
    <s v="Dinner"/>
    <n v="2"/>
    <n v="22.67"/>
    <n v="2"/>
  </r>
  <r>
    <x v="1"/>
    <s v="No"/>
    <x v="1"/>
    <s v="Dinner"/>
    <n v="2"/>
    <n v="17.82"/>
    <n v="1.75"/>
  </r>
  <r>
    <x v="0"/>
    <s v="No"/>
    <x v="2"/>
    <s v="Dinner"/>
    <n v="2"/>
    <n v="18.7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110B4-E377-4B2A-BA6D-7AD772C118A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G11" firstHeaderRow="1" firstDataRow="1" firstDataCol="1"/>
  <pivotFields count="7">
    <pivotField showAll="0"/>
    <pivotField showAll="0"/>
    <pivotField axis="axisRow" showAll="0" sortType="descending">
      <items count="5">
        <item h="1" x="0"/>
        <item h="1" x="3"/>
        <item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Sum of size" fld="4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A0E4C-F792-4384-BA9E-D4E29709EB29}" name="PivotTable14" cacheId="19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63:G64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Average of total_bill" fld="1" subtotal="average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 caption="Average of total_bill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B8D66-E725-48D1-A1AD-B631F93F58DB}" name="PivotTable13" cacheId="19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60:G61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Sum of tip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EC39D-46B8-4E58-BA3B-BA9CF5E3487D}" name="PivotTable12" cacheId="20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57:G58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Sum of total_bill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DC1DA-218A-423D-A102-9539C6DB7793}" name="PivotTable11" cacheId="18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Time">
  <location ref="H44:K4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bill" fld="1" baseField="0" baseItem="0"/>
    <dataField name="Sum of tip" fld="2" baseField="0" baseItem="0"/>
    <dataField name="Average of size" fld="3" subtotal="average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74F6F-3971-469F-8EC4-0169A7331623}" name="PivotTable9" cacheId="18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38:H40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smoker" fld="1" subtotal="count" baseField="0" baseItem="0"/>
    <dataField name="percent of amoker 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smoker]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B77D8-2C0B-4060-ABEE-B1D8966C57B9}" name="PivotTable8" cacheId="18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30:H32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ip" fld="1" baseField="0" baseItem="0"/>
    <dataField name="Sum of tip2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p]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26B5E-7F15-4C8C-8DDE-2552784D248C}" name="PivotTable7" cacheId="18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26:H28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otal_bill2" fld="1" baseField="0" baseItem="0">
      <extLst>
        <ext xmlns:x14="http://schemas.microsoft.com/office/spreadsheetml/2009/9/main" uri="{E15A36E0-9728-4e99-A89B-3F7291B0FE68}">
          <x14:dataField sourceField="1" uniqueName="[__Xl2].[Measures].[Sum of total_bill]"/>
        </ext>
      </extLst>
    </dataField>
    <dataField name="Sum of total_bill" fld="2" showDataAs="percentOfCo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801C4-5A3A-48A4-B6BF-D74A24AF1351}" name="PivotTable6" cacheId="18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ex">
  <location ref="F20:G2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tip" fld="1" showDataAs="percentOfTotal" baseField="0" baseItem="1" numFmtId="1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2CB56-EFDD-4F8E-B349-3891CDF78534}" name="PivotTable5" cacheId="1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x">
  <location ref="F16:G1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tip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ADFFA-6BDF-474C-A917-FBF33B321E22}" name="PivotTable3" cacheId="7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outline="1" outlineData="1" multipleFieldFilters="0" rowHeaderCaption="Sex">
  <location ref="F12:H14" firstHeaderRow="0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otal_bill" fld="5" baseField="0" baseItem="0"/>
    <dataField name="Sum of tip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4"/>
  <sheetViews>
    <sheetView topLeftCell="A219" workbookViewId="0">
      <selection activeCell="B238" sqref="B238"/>
    </sheetView>
  </sheetViews>
  <sheetFormatPr defaultColWidth="13.44140625" defaultRowHeight="14.4" x14ac:dyDescent="0.3"/>
  <cols>
    <col min="11" max="11" width="4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>
        <v>2.5</v>
      </c>
    </row>
    <row r="205" spans="1:7" x14ac:dyDescent="0.3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>
        <v>4</v>
      </c>
    </row>
    <row r="206" spans="1:7" x14ac:dyDescent="0.3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>
        <v>3.23</v>
      </c>
    </row>
    <row r="207" spans="1:7" x14ac:dyDescent="0.3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>
        <v>3.41</v>
      </c>
    </row>
    <row r="208" spans="1:7" x14ac:dyDescent="0.3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>
        <v>3</v>
      </c>
    </row>
    <row r="209" spans="1:7" x14ac:dyDescent="0.3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>
        <v>2.0299999999999998</v>
      </c>
    </row>
    <row r="210" spans="1:7" x14ac:dyDescent="0.3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>
        <v>2.23</v>
      </c>
    </row>
    <row r="211" spans="1:7" x14ac:dyDescent="0.3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>
        <v>2</v>
      </c>
    </row>
    <row r="212" spans="1:7" x14ac:dyDescent="0.3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>
        <v>5.16</v>
      </c>
    </row>
    <row r="213" spans="1:7" x14ac:dyDescent="0.3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>
        <v>9</v>
      </c>
    </row>
    <row r="214" spans="1:7" x14ac:dyDescent="0.3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>
        <v>2.5</v>
      </c>
    </row>
    <row r="215" spans="1:7" x14ac:dyDescent="0.3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>
        <v>6.5</v>
      </c>
    </row>
    <row r="216" spans="1:7" x14ac:dyDescent="0.3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>
        <v>1.1000000000000001</v>
      </c>
    </row>
    <row r="217" spans="1:7" x14ac:dyDescent="0.3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>
        <v>3</v>
      </c>
    </row>
    <row r="218" spans="1:7" x14ac:dyDescent="0.3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>
        <v>1.5</v>
      </c>
    </row>
    <row r="219" spans="1:7" x14ac:dyDescent="0.3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>
        <v>1.44</v>
      </c>
    </row>
    <row r="220" spans="1:7" x14ac:dyDescent="0.3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>
        <v>3.09</v>
      </c>
    </row>
    <row r="221" spans="1:7" x14ac:dyDescent="0.3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>
        <v>2.2000000000000002</v>
      </c>
    </row>
    <row r="222" spans="1:7" x14ac:dyDescent="0.3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>
        <v>3.48</v>
      </c>
    </row>
    <row r="223" spans="1:7" x14ac:dyDescent="0.3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>
        <v>1.92</v>
      </c>
    </row>
    <row r="224" spans="1:7" x14ac:dyDescent="0.3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>
        <v>3</v>
      </c>
    </row>
    <row r="225" spans="1:7" x14ac:dyDescent="0.3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>
        <v>1.58</v>
      </c>
    </row>
    <row r="226" spans="1:7" x14ac:dyDescent="0.3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>
        <v>2.5</v>
      </c>
    </row>
    <row r="227" spans="1:7" x14ac:dyDescent="0.3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>
        <v>2</v>
      </c>
    </row>
    <row r="228" spans="1:7" x14ac:dyDescent="0.3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>
        <v>3</v>
      </c>
    </row>
    <row r="229" spans="1:7" x14ac:dyDescent="0.3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>
        <v>2.72</v>
      </c>
    </row>
    <row r="230" spans="1:7" x14ac:dyDescent="0.3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>
        <v>2.88</v>
      </c>
    </row>
    <row r="231" spans="1:7" x14ac:dyDescent="0.3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>
        <v>2</v>
      </c>
    </row>
    <row r="232" spans="1:7" x14ac:dyDescent="0.3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>
        <v>3</v>
      </c>
    </row>
    <row r="233" spans="1:7" x14ac:dyDescent="0.3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>
        <v>3.39</v>
      </c>
    </row>
    <row r="234" spans="1:7" x14ac:dyDescent="0.3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>
        <v>1.47</v>
      </c>
    </row>
    <row r="235" spans="1:7" x14ac:dyDescent="0.3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>
        <v>3</v>
      </c>
    </row>
    <row r="236" spans="1:7" x14ac:dyDescent="0.3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>
        <v>1.25</v>
      </c>
    </row>
    <row r="237" spans="1:7" x14ac:dyDescent="0.3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>
        <v>1</v>
      </c>
    </row>
    <row r="238" spans="1:7" x14ac:dyDescent="0.3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>
        <v>1.17</v>
      </c>
    </row>
    <row r="239" spans="1:7" x14ac:dyDescent="0.3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>
        <v>4.67</v>
      </c>
    </row>
    <row r="240" spans="1:7" x14ac:dyDescent="0.3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>
        <v>5.92</v>
      </c>
    </row>
    <row r="241" spans="1:7" x14ac:dyDescent="0.3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>
        <v>2</v>
      </c>
    </row>
    <row r="242" spans="1:7" x14ac:dyDescent="0.3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>
        <v>2</v>
      </c>
    </row>
    <row r="243" spans="1:7" x14ac:dyDescent="0.3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>
        <v>1.75</v>
      </c>
    </row>
    <row r="244" spans="1:7" x14ac:dyDescent="0.3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8924-BDF9-48D4-8B4C-4569E03A87F7}">
  <dimension ref="B3:H11"/>
  <sheetViews>
    <sheetView topLeftCell="C1" zoomScale="121" workbookViewId="0">
      <selection activeCell="I13" sqref="I13"/>
    </sheetView>
  </sheetViews>
  <sheetFormatPr defaultRowHeight="14.4" x14ac:dyDescent="0.3"/>
  <cols>
    <col min="6" max="6" width="12.5546875" bestFit="1" customWidth="1"/>
    <col min="7" max="7" width="10.44140625" bestFit="1" customWidth="1"/>
  </cols>
  <sheetData>
    <row r="3" spans="2:8" x14ac:dyDescent="0.3">
      <c r="B3" t="s">
        <v>26</v>
      </c>
      <c r="G3">
        <f>COUNT(tips!G1:G245)</f>
        <v>243</v>
      </c>
    </row>
    <row r="4" spans="2:8" x14ac:dyDescent="0.3">
      <c r="B4" t="s">
        <v>27</v>
      </c>
      <c r="G4">
        <v>0</v>
      </c>
    </row>
    <row r="5" spans="2:8" x14ac:dyDescent="0.3">
      <c r="B5" t="s">
        <v>28</v>
      </c>
      <c r="G5">
        <v>0</v>
      </c>
    </row>
    <row r="6" spans="2:8" x14ac:dyDescent="0.3">
      <c r="B6" t="s">
        <v>29</v>
      </c>
      <c r="G6" s="2">
        <f>COUNTIF(tips!B1:$B$244,"Yes")/G3</f>
        <v>0.37860082304526749</v>
      </c>
    </row>
    <row r="7" spans="2:8" x14ac:dyDescent="0.3">
      <c r="B7" s="3" t="s">
        <v>30</v>
      </c>
      <c r="C7" s="3"/>
      <c r="D7" s="3"/>
      <c r="E7" s="3"/>
      <c r="F7" s="3"/>
      <c r="G7" t="s">
        <v>24</v>
      </c>
      <c r="H7" s="2">
        <f>COUNTIF(tips!D1:$D$244,'Data Understanding'!$G$7)/$G$3</f>
        <v>0.27572016460905352</v>
      </c>
    </row>
    <row r="8" spans="2:8" x14ac:dyDescent="0.3">
      <c r="G8" t="s">
        <v>10</v>
      </c>
      <c r="H8" s="2">
        <f>COUNTIF(tips!D2:$D$244,'Data Understanding'!$G$8)/G3</f>
        <v>0.72427983539094654</v>
      </c>
    </row>
    <row r="9" spans="2:8" x14ac:dyDescent="0.3">
      <c r="B9" t="s">
        <v>31</v>
      </c>
      <c r="F9" s="6" t="s">
        <v>33</v>
      </c>
      <c r="G9" t="s">
        <v>32</v>
      </c>
    </row>
    <row r="10" spans="2:8" x14ac:dyDescent="0.3">
      <c r="F10" s="7" t="s">
        <v>21</v>
      </c>
      <c r="G10" s="4">
        <v>219</v>
      </c>
    </row>
    <row r="11" spans="2:8" x14ac:dyDescent="0.3">
      <c r="F11" s="7" t="s">
        <v>34</v>
      </c>
      <c r="G11" s="4">
        <v>219</v>
      </c>
    </row>
  </sheetData>
  <mergeCells count="1">
    <mergeCell ref="B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F29C-4D0A-4A29-B1B6-B5AB58FB2493}">
  <dimension ref="B1:K64"/>
  <sheetViews>
    <sheetView tabSelected="1" zoomScale="116" zoomScaleNormal="145" workbookViewId="0">
      <selection activeCell="E66" sqref="E66"/>
    </sheetView>
  </sheetViews>
  <sheetFormatPr defaultRowHeight="14.4" x14ac:dyDescent="0.3"/>
  <cols>
    <col min="6" max="6" width="6.44140625" bestFit="1" customWidth="1"/>
    <col min="7" max="8" width="14.88671875" bestFit="1" customWidth="1"/>
    <col min="9" max="9" width="13.6640625" bestFit="1" customWidth="1"/>
    <col min="10" max="10" width="9.6640625" bestFit="1" customWidth="1"/>
    <col min="11" max="11" width="13.6640625" bestFit="1" customWidth="1"/>
  </cols>
  <sheetData>
    <row r="1" spans="2:9" ht="18" x14ac:dyDescent="0.3">
      <c r="B1" s="8" t="s">
        <v>35</v>
      </c>
    </row>
    <row r="2" spans="2:9" x14ac:dyDescent="0.3">
      <c r="B2" s="9"/>
    </row>
    <row r="3" spans="2:9" x14ac:dyDescent="0.3">
      <c r="B3" s="10" t="s">
        <v>36</v>
      </c>
      <c r="C3" s="10"/>
      <c r="D3" s="10"/>
      <c r="E3" s="10">
        <f>AVERAGE(tips!$F$2:$F$244)</f>
        <v>19.813868312757208</v>
      </c>
    </row>
    <row r="4" spans="2:9" x14ac:dyDescent="0.3">
      <c r="B4" s="10"/>
      <c r="C4" s="10"/>
      <c r="D4" s="10"/>
      <c r="E4" s="10"/>
    </row>
    <row r="5" spans="2:9" x14ac:dyDescent="0.3">
      <c r="B5" s="10" t="s">
        <v>37</v>
      </c>
      <c r="C5" s="10"/>
      <c r="D5" s="10"/>
      <c r="E5" s="10">
        <f>AVERAGE(tips!G2:G244)</f>
        <v>3.0023868312757203</v>
      </c>
    </row>
    <row r="6" spans="2:9" x14ac:dyDescent="0.3">
      <c r="B6" s="10"/>
      <c r="C6" s="10"/>
      <c r="D6" s="10"/>
      <c r="E6" s="10"/>
    </row>
    <row r="7" spans="2:9" x14ac:dyDescent="0.3">
      <c r="B7" s="11" t="s">
        <v>38</v>
      </c>
      <c r="C7" s="11"/>
      <c r="D7" s="11"/>
      <c r="E7" s="12">
        <f>SUM(tips!$G$2:$G$244)/SUM(tips!F2:F244)</f>
        <v>0.15152956423671324</v>
      </c>
    </row>
    <row r="10" spans="2:9" ht="18" x14ac:dyDescent="0.3">
      <c r="B10" s="8" t="s">
        <v>39</v>
      </c>
    </row>
    <row r="11" spans="2:9" x14ac:dyDescent="0.3">
      <c r="B11" s="9"/>
    </row>
    <row r="12" spans="2:9" x14ac:dyDescent="0.3">
      <c r="B12" s="9" t="s">
        <v>40</v>
      </c>
      <c r="F12" s="6" t="s">
        <v>56</v>
      </c>
      <c r="G12" t="s">
        <v>43</v>
      </c>
      <c r="H12" t="s">
        <v>44</v>
      </c>
      <c r="I12" s="5" t="s">
        <v>34</v>
      </c>
    </row>
    <row r="13" spans="2:9" x14ac:dyDescent="0.3">
      <c r="F13" s="7" t="s">
        <v>7</v>
      </c>
      <c r="G13" s="4">
        <v>1557.9499999999998</v>
      </c>
      <c r="H13" s="4">
        <v>244.51</v>
      </c>
      <c r="I13">
        <f>SUM(G13:H13)</f>
        <v>1802.4599999999998</v>
      </c>
    </row>
    <row r="14" spans="2:9" x14ac:dyDescent="0.3">
      <c r="F14" s="7" t="s">
        <v>11</v>
      </c>
      <c r="G14" s="4">
        <v>3256.8200000000024</v>
      </c>
      <c r="H14" s="4">
        <v>485.07000000000011</v>
      </c>
      <c r="I14">
        <f>SUM(G14:H14)</f>
        <v>3741.8900000000026</v>
      </c>
    </row>
    <row r="16" spans="2:9" x14ac:dyDescent="0.3">
      <c r="B16" s="9" t="s">
        <v>41</v>
      </c>
      <c r="E16" t="s">
        <v>45</v>
      </c>
      <c r="F16" s="6" t="s">
        <v>56</v>
      </c>
      <c r="G16" t="s">
        <v>44</v>
      </c>
    </row>
    <row r="17" spans="2:8" x14ac:dyDescent="0.3">
      <c r="F17" s="7" t="s">
        <v>7</v>
      </c>
      <c r="G17" s="4">
        <v>244.51</v>
      </c>
    </row>
    <row r="18" spans="2:8" x14ac:dyDescent="0.3">
      <c r="F18" s="7" t="s">
        <v>11</v>
      </c>
      <c r="G18" s="4">
        <v>485.07</v>
      </c>
    </row>
    <row r="20" spans="2:8" x14ac:dyDescent="0.3">
      <c r="B20" s="14" t="s">
        <v>42</v>
      </c>
      <c r="C20" s="14"/>
      <c r="D20" s="14"/>
      <c r="E20" s="14"/>
      <c r="F20" s="6" t="s">
        <v>56</v>
      </c>
      <c r="G20" t="s">
        <v>44</v>
      </c>
    </row>
    <row r="21" spans="2:8" x14ac:dyDescent="0.3">
      <c r="F21" s="7" t="s">
        <v>7</v>
      </c>
      <c r="G21" s="13">
        <v>0.33513802461690284</v>
      </c>
    </row>
    <row r="22" spans="2:8" x14ac:dyDescent="0.3">
      <c r="F22" s="7" t="s">
        <v>11</v>
      </c>
      <c r="G22" s="13">
        <v>0.6648619753830971</v>
      </c>
    </row>
    <row r="24" spans="2:8" ht="18" x14ac:dyDescent="0.3">
      <c r="B24" s="8" t="s">
        <v>46</v>
      </c>
    </row>
    <row r="26" spans="2:8" x14ac:dyDescent="0.3">
      <c r="B26" s="9" t="s">
        <v>47</v>
      </c>
      <c r="F26" s="6" t="s">
        <v>1</v>
      </c>
      <c r="G26" t="s">
        <v>51</v>
      </c>
      <c r="H26" t="s">
        <v>43</v>
      </c>
    </row>
    <row r="27" spans="2:8" x14ac:dyDescent="0.3">
      <c r="F27" s="7" t="s">
        <v>8</v>
      </c>
      <c r="G27" s="4">
        <v>2897.43</v>
      </c>
      <c r="H27" s="13">
        <v>0.6017795242555718</v>
      </c>
    </row>
    <row r="28" spans="2:8" x14ac:dyDescent="0.3">
      <c r="F28" s="7" t="s">
        <v>22</v>
      </c>
      <c r="G28" s="4">
        <v>1917.34</v>
      </c>
      <c r="H28" s="13">
        <v>0.39822047574442804</v>
      </c>
    </row>
    <row r="30" spans="2:8" x14ac:dyDescent="0.3">
      <c r="B30" s="9" t="s">
        <v>48</v>
      </c>
      <c r="F30" s="6" t="s">
        <v>1</v>
      </c>
      <c r="G30" t="s">
        <v>44</v>
      </c>
      <c r="H30" t="s">
        <v>50</v>
      </c>
    </row>
    <row r="31" spans="2:8" x14ac:dyDescent="0.3">
      <c r="F31" s="7" t="s">
        <v>8</v>
      </c>
      <c r="G31" s="4">
        <v>451.77</v>
      </c>
      <c r="H31" s="13">
        <v>0.61921927684421163</v>
      </c>
    </row>
    <row r="32" spans="2:8" x14ac:dyDescent="0.3">
      <c r="F32" s="7" t="s">
        <v>22</v>
      </c>
      <c r="G32" s="4">
        <v>277.81</v>
      </c>
      <c r="H32" s="13">
        <v>0.38078072315578826</v>
      </c>
    </row>
    <row r="34" spans="2:11" x14ac:dyDescent="0.3">
      <c r="B34" s="9" t="s">
        <v>49</v>
      </c>
      <c r="G34" t="s">
        <v>8</v>
      </c>
    </row>
    <row r="35" spans="2:11" x14ac:dyDescent="0.3">
      <c r="G35" t="s">
        <v>54</v>
      </c>
    </row>
    <row r="38" spans="2:11" x14ac:dyDescent="0.3">
      <c r="B38" s="9" t="s">
        <v>52</v>
      </c>
      <c r="F38" s="6" t="s">
        <v>55</v>
      </c>
      <c r="G38" t="s">
        <v>53</v>
      </c>
      <c r="H38" t="s">
        <v>62</v>
      </c>
    </row>
    <row r="39" spans="2:11" x14ac:dyDescent="0.3">
      <c r="F39" s="7" t="s">
        <v>8</v>
      </c>
      <c r="G39" s="4">
        <v>151</v>
      </c>
      <c r="H39" s="13">
        <v>0.62139917695473246</v>
      </c>
    </row>
    <row r="40" spans="2:11" x14ac:dyDescent="0.3">
      <c r="F40" s="7" t="s">
        <v>22</v>
      </c>
      <c r="G40" s="4">
        <v>92</v>
      </c>
      <c r="H40" s="13">
        <v>0.37860082304526749</v>
      </c>
    </row>
    <row r="42" spans="2:11" ht="18" x14ac:dyDescent="0.3">
      <c r="B42" s="8" t="s">
        <v>57</v>
      </c>
    </row>
    <row r="43" spans="2:11" x14ac:dyDescent="0.3">
      <c r="B43" s="9"/>
    </row>
    <row r="44" spans="2:11" x14ac:dyDescent="0.3">
      <c r="B44" s="9" t="s">
        <v>58</v>
      </c>
      <c r="H44" s="6" t="s">
        <v>73</v>
      </c>
      <c r="I44" t="s">
        <v>43</v>
      </c>
      <c r="J44" t="s">
        <v>44</v>
      </c>
      <c r="K44" t="s">
        <v>63</v>
      </c>
    </row>
    <row r="45" spans="2:11" x14ac:dyDescent="0.3">
      <c r="C45" t="s">
        <v>64</v>
      </c>
      <c r="H45" s="7" t="s">
        <v>10</v>
      </c>
      <c r="I45" s="4">
        <v>3660.3</v>
      </c>
      <c r="J45" s="4">
        <v>546.07000000000005</v>
      </c>
      <c r="K45" s="4">
        <v>2.6306818181818183</v>
      </c>
    </row>
    <row r="46" spans="2:11" x14ac:dyDescent="0.3">
      <c r="C46" t="s">
        <v>65</v>
      </c>
      <c r="H46" s="7" t="s">
        <v>24</v>
      </c>
      <c r="I46" s="4">
        <v>1154.47</v>
      </c>
      <c r="J46" s="4">
        <v>183.51</v>
      </c>
      <c r="K46" s="4">
        <v>2.4179104477611939</v>
      </c>
    </row>
    <row r="48" spans="2:11" x14ac:dyDescent="0.3">
      <c r="B48" s="9" t="s">
        <v>59</v>
      </c>
    </row>
    <row r="49" spans="2:7" x14ac:dyDescent="0.3">
      <c r="C49" t="s">
        <v>66</v>
      </c>
    </row>
    <row r="51" spans="2:7" x14ac:dyDescent="0.3">
      <c r="B51" s="9" t="s">
        <v>60</v>
      </c>
    </row>
    <row r="52" spans="2:7" x14ac:dyDescent="0.3">
      <c r="C52" t="s">
        <v>67</v>
      </c>
      <c r="E52" t="s">
        <v>68</v>
      </c>
      <c r="F52">
        <v>2.42</v>
      </c>
    </row>
    <row r="53" spans="2:7" x14ac:dyDescent="0.3">
      <c r="E53" t="s">
        <v>10</v>
      </c>
      <c r="F53">
        <v>2.63</v>
      </c>
    </row>
    <row r="55" spans="2:7" ht="18" x14ac:dyDescent="0.3">
      <c r="B55" s="8" t="s">
        <v>61</v>
      </c>
    </row>
    <row r="57" spans="2:7" x14ac:dyDescent="0.3">
      <c r="B57" t="s">
        <v>69</v>
      </c>
      <c r="F57" s="6" t="s">
        <v>72</v>
      </c>
      <c r="G57" t="s">
        <v>43</v>
      </c>
    </row>
    <row r="58" spans="2:7" x14ac:dyDescent="0.3">
      <c r="F58" s="7" t="s">
        <v>21</v>
      </c>
      <c r="G58" s="4">
        <v>1778.4</v>
      </c>
    </row>
    <row r="60" spans="2:7" x14ac:dyDescent="0.3">
      <c r="B60" t="s">
        <v>70</v>
      </c>
      <c r="F60" s="6" t="s">
        <v>72</v>
      </c>
      <c r="G60" t="s">
        <v>44</v>
      </c>
    </row>
    <row r="61" spans="2:7" x14ac:dyDescent="0.3">
      <c r="F61" s="7" t="s">
        <v>21</v>
      </c>
      <c r="G61" s="4">
        <v>260.39999999999998</v>
      </c>
    </row>
    <row r="63" spans="2:7" x14ac:dyDescent="0.3">
      <c r="B63" t="s">
        <v>71</v>
      </c>
      <c r="F63" s="6" t="s">
        <v>72</v>
      </c>
      <c r="G63" t="s">
        <v>74</v>
      </c>
    </row>
    <row r="64" spans="2:7" x14ac:dyDescent="0.3">
      <c r="F64" s="7" t="s">
        <v>9</v>
      </c>
      <c r="G64" s="4">
        <v>21.41</v>
      </c>
    </row>
  </sheetData>
  <mergeCells count="1"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tips</vt:lpstr>
      <vt:lpstr>Data Understanding</vt:lpstr>
      <vt:lpstr>Basic EDA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choudharynikhil0506@gmail.com</cp:lastModifiedBy>
  <cp:revision/>
  <dcterms:created xsi:type="dcterms:W3CDTF">2021-10-26T16:10:41Z</dcterms:created>
  <dcterms:modified xsi:type="dcterms:W3CDTF">2026-06-13T13:49:35Z</dcterms:modified>
  <cp:category/>
  <cp:contentStatus/>
</cp:coreProperties>
</file>